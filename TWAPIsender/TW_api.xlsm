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evs\Python\GitHub\Pythons\TWAPIsender\"/>
    </mc:Choice>
  </mc:AlternateContent>
  <xr:revisionPtr revIDLastSave="0" documentId="13_ncr:1_{31121C3D-6991-480A-B34E-A01CFF639C21}" xr6:coauthVersionLast="47" xr6:coauthVersionMax="47" xr10:uidLastSave="{00000000-0000-0000-0000-000000000000}"/>
  <bookViews>
    <workbookView xWindow="850" yWindow="4520" windowWidth="18010" windowHeight="15370" activeTab="1" xr2:uid="{07D4B495-CDEE-47B2-96BE-8BC4E1477648}"/>
  </bookViews>
  <sheets>
    <sheet name="Sheet1" sheetId="1" r:id="rId1"/>
    <sheet name="data" sheetId="2" r:id="rId2"/>
    <sheet name="Sheet4" sheetId="5" r:id="rId3"/>
    <sheet name="Sheet3" sheetId="3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1" i="2" l="1"/>
  <c r="J4" i="2"/>
  <c r="J9" i="2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" i="3"/>
  <c r="X33" i="2"/>
  <c r="X4" i="2"/>
  <c r="X25" i="2"/>
  <c r="X24" i="2"/>
  <c r="X18" i="2"/>
  <c r="X17" i="2"/>
  <c r="X14" i="2"/>
  <c r="X13" i="2"/>
  <c r="X10" i="2"/>
  <c r="X8" i="2"/>
  <c r="X6" i="2"/>
  <c r="X5" i="2"/>
  <c r="Q33" i="2"/>
  <c r="Q4" i="2"/>
  <c r="Q25" i="2"/>
  <c r="Q24" i="2"/>
  <c r="Q17" i="2"/>
  <c r="Q14" i="2"/>
  <c r="Q13" i="2"/>
  <c r="Q10" i="2"/>
  <c r="Q8" i="2"/>
  <c r="Q6" i="2"/>
  <c r="Q5" i="2"/>
  <c r="J6" i="2"/>
  <c r="J7" i="2"/>
  <c r="J8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2" i="2"/>
  <c r="J33" i="2"/>
  <c r="J5" i="2"/>
  <c r="X3" i="2" l="1"/>
  <c r="J3" i="2"/>
  <c r="Q3" i="2"/>
</calcChain>
</file>

<file path=xl/sharedStrings.xml><?xml version="1.0" encoding="utf-8"?>
<sst xmlns="http://schemas.openxmlformats.org/spreadsheetml/2006/main" count="585" uniqueCount="198">
  <si>
    <t>{</t>
  </si>
  <si>
    <t>                    }</t>
  </si>
  <si>
    <t>                },</t>
  </si>
  <si>
    <t>                }</t>
  </si>
  <si>
    <t>            }</t>
  </si>
  <si>
    <t>        },</t>
  </si>
  <si>
    <t>            {</t>
  </si>
  <si>
    <t>        ]</t>
  </si>
  <si>
    <t>    }</t>
  </si>
  <si>
    <t>}</t>
  </si>
  <si>
    <t>    "targetList": {</t>
  </si>
  <si>
    <t>        "dataShape": {</t>
  </si>
  <si>
    <t>            "fieldDefinitions": {</t>
  </si>
  <si>
    <t>                "thingName": {</t>
  </si>
  <si>
    <t>                    "name": "thingName",</t>
  </si>
  <si>
    <t>                    "description": "",</t>
  </si>
  <si>
    <t>                    "baseType": "STRING",</t>
  </si>
  <si>
    <t>                    "ordinal": 1,</t>
  </si>
  <si>
    <t>                    "alias": "_0",</t>
  </si>
  <si>
    <t>                    "aspects": {</t>
  </si>
  <si>
    <t>                        "isPrimaryKey": false</t>
  </si>
  <si>
    <t>                "assetName": {</t>
  </si>
  <si>
    <t>                    "name": "assetName",</t>
  </si>
  <si>
    <t>                    "ordinal": 2,</t>
  </si>
  <si>
    <t>                    "alias": "_1",</t>
  </si>
  <si>
    <t>                "modelNumber": {</t>
  </si>
  <si>
    <t>                    "name": "modelNumber",</t>
  </si>
  <si>
    <t>                    "ordinal": 3,</t>
  </si>
  <si>
    <t>                    "alias": "_2",</t>
  </si>
  <si>
    <t>                "serialNumber": {</t>
  </si>
  <si>
    <t>                    "name": "serialNumber",</t>
  </si>
  <si>
    <t>                    "ordinal": 4,</t>
  </si>
  <si>
    <t>                    "alias": "_3",</t>
  </si>
  <si>
    <t>                "region": {</t>
  </si>
  <si>
    <t>                    "name": "region",</t>
  </si>
  <si>
    <t>                    "ordinal": 5,</t>
  </si>
  <si>
    <t>                    "alias": "_4",</t>
  </si>
  <si>
    <t>                "country": {</t>
  </si>
  <si>
    <t>                    "name": "country",</t>
  </si>
  <si>
    <t>                    "ordinal": 6,</t>
  </si>
  <si>
    <t>                    "alias": "_5",</t>
  </si>
  <si>
    <t>                "province": {</t>
  </si>
  <si>
    <t>                    "name": "province",</t>
  </si>
  <si>
    <t>                    "ordinal": 7,</t>
  </si>
  <si>
    <t>                    "alias": "_6",</t>
  </si>
  <si>
    <t>                "city": {</t>
  </si>
  <si>
    <t>                    "name": "city",</t>
  </si>
  <si>
    <t>                    "ordinal": 8,</t>
  </si>
  <si>
    <t>                    "alias": "_7",</t>
  </si>
  <si>
    <t>                "isFTPAsset": {</t>
  </si>
  <si>
    <t>                    "name": "isFTPAsset",</t>
  </si>
  <si>
    <t>                    "baseType": "BOOLEAN",</t>
  </si>
  <si>
    <t>                    "ordinal": 9,</t>
  </si>
  <si>
    <t>                    "alias": "_8",</t>
  </si>
  <si>
    <t>                "bsId": {</t>
  </si>
  <si>
    <t>                    "name": "bsId",</t>
  </si>
  <si>
    <t>                    "ordinal": 10,</t>
  </si>
  <si>
    <t>                    "alias": "_9",</t>
  </si>
  <si>
    <t>        "rows": [</t>
  </si>
  <si>
    <t>                "thingName": "SMD001",</t>
  </si>
  <si>
    <t>                "assetName": "SMD001",</t>
  </si>
  <si>
    <t>                "modelNumber": "Trinias",</t>
  </si>
  <si>
    <t>                "serialNumber": "SMD001",</t>
  </si>
  <si>
    <t>                "region": "",</t>
  </si>
  <si>
    <t>                "country": "",</t>
  </si>
  <si>
    <t>                "province": "",</t>
  </si>
  <si>
    <t>                "city": "",</t>
  </si>
  <si>
    <t>                "isFTPAsset": false,</t>
  </si>
  <si>
    <t>                "bsId": ""</t>
  </si>
  <si>
    <t>Thing名</t>
    <rPh sb="5" eb="6">
      <t>メイ</t>
    </rPh>
    <phoneticPr fontId="1"/>
  </si>
  <si>
    <t>アセット名</t>
    <rPh sb="4" eb="5">
      <t>メイ</t>
    </rPh>
    <phoneticPr fontId="1"/>
  </si>
  <si>
    <t>説明</t>
    <rPh sb="0" eb="2">
      <t>セツメイ</t>
    </rPh>
    <phoneticPr fontId="1"/>
  </si>
  <si>
    <t>モデル</t>
    <phoneticPr fontId="1"/>
  </si>
  <si>
    <t>アセットS/N</t>
    <phoneticPr fontId="1"/>
  </si>
  <si>
    <t>顧客名</t>
    <rPh sb="0" eb="3">
      <t>コキャクメイ</t>
    </rPh>
    <phoneticPr fontId="1"/>
  </si>
  <si>
    <t>設置室名</t>
    <rPh sb="0" eb="4">
      <t>セッチシツメイ</t>
    </rPh>
    <phoneticPr fontId="1"/>
  </si>
  <si>
    <t>地域</t>
    <rPh sb="0" eb="2">
      <t>チイキ</t>
    </rPh>
    <phoneticPr fontId="1"/>
  </si>
  <si>
    <t>国</t>
    <rPh sb="0" eb="1">
      <t>クニ</t>
    </rPh>
    <phoneticPr fontId="1"/>
  </si>
  <si>
    <t>郵便番号</t>
    <rPh sb="0" eb="4">
      <t>ユウビンバンゴウ</t>
    </rPh>
    <phoneticPr fontId="1"/>
  </si>
  <si>
    <t>州</t>
    <rPh sb="0" eb="1">
      <t>シュウ</t>
    </rPh>
    <phoneticPr fontId="1"/>
  </si>
  <si>
    <t>県</t>
    <rPh sb="0" eb="1">
      <t>ケン</t>
    </rPh>
    <phoneticPr fontId="1"/>
  </si>
  <si>
    <t>市</t>
    <rPh sb="0" eb="1">
      <t>シ</t>
    </rPh>
    <phoneticPr fontId="1"/>
  </si>
  <si>
    <t>住所詳細１</t>
    <rPh sb="0" eb="2">
      <t>ジュウショ</t>
    </rPh>
    <rPh sb="2" eb="4">
      <t>ショウサイ</t>
    </rPh>
    <phoneticPr fontId="1"/>
  </si>
  <si>
    <t>住所詳細２</t>
    <rPh sb="0" eb="2">
      <t>ジュウショ</t>
    </rPh>
    <rPh sb="2" eb="4">
      <t>ショウサイ</t>
    </rPh>
    <phoneticPr fontId="1"/>
  </si>
  <si>
    <t>緯度</t>
    <rPh sb="0" eb="2">
      <t>イド</t>
    </rPh>
    <phoneticPr fontId="1"/>
  </si>
  <si>
    <t>経度</t>
    <rPh sb="0" eb="2">
      <t>ケイド</t>
    </rPh>
    <phoneticPr fontId="1"/>
  </si>
  <si>
    <t>備考</t>
    <rPh sb="0" eb="2">
      <t>ビコウ</t>
    </rPh>
    <phoneticPr fontId="1"/>
  </si>
  <si>
    <t>FTP</t>
    <phoneticPr fontId="1"/>
  </si>
  <si>
    <t>BS_ID</t>
    <phoneticPr fontId="1"/>
  </si>
  <si>
    <t>連絡先</t>
    <rPh sb="0" eb="3">
      <t>レンラクサキ</t>
    </rPh>
    <phoneticPr fontId="1"/>
  </si>
  <si>
    <t>ユーザ名</t>
    <rPh sb="3" eb="4">
      <t>メイ</t>
    </rPh>
    <phoneticPr fontId="1"/>
  </si>
  <si>
    <t>メールアドレス</t>
    <phoneticPr fontId="1"/>
  </si>
  <si>
    <t>カテゴリ</t>
    <phoneticPr fontId="1"/>
  </si>
  <si>
    <t>選択</t>
    <rPh sb="0" eb="2">
      <t>センタク</t>
    </rPh>
    <phoneticPr fontId="1"/>
  </si>
  <si>
    <t>assetName</t>
    <phoneticPr fontId="1"/>
  </si>
  <si>
    <t>description</t>
    <phoneticPr fontId="1"/>
  </si>
  <si>
    <t>country</t>
    <phoneticPr fontId="1"/>
  </si>
  <si>
    <t>state</t>
    <phoneticPr fontId="1"/>
  </si>
  <si>
    <t>province</t>
    <phoneticPr fontId="1"/>
  </si>
  <si>
    <t>postalCode</t>
    <phoneticPr fontId="1"/>
  </si>
  <si>
    <t>addressLine1</t>
    <phoneticPr fontId="1"/>
  </si>
  <si>
    <t>addressLine2</t>
    <phoneticPr fontId="1"/>
  </si>
  <si>
    <t>latitude</t>
    <phoneticPr fontId="1"/>
  </si>
  <si>
    <t>longitude</t>
    <phoneticPr fontId="1"/>
  </si>
  <si>
    <t>remarks</t>
    <phoneticPr fontId="1"/>
  </si>
  <si>
    <t>isFTPAsset</t>
    <phoneticPr fontId="1"/>
  </si>
  <si>
    <t>bsId</t>
    <phoneticPr fontId="1"/>
  </si>
  <si>
    <t>userName</t>
    <phoneticPr fontId="1"/>
  </si>
  <si>
    <t>emailAddress</t>
    <phoneticPr fontId="1"/>
  </si>
  <si>
    <t>category</t>
    <phoneticPr fontId="1"/>
  </si>
  <si>
    <t>_isSelected</t>
    <phoneticPr fontId="1"/>
  </si>
  <si>
    <t>customer</t>
    <phoneticPr fontId="1"/>
  </si>
  <si>
    <t>modelNumber</t>
    <phoneticPr fontId="1"/>
  </si>
  <si>
    <t>thingTemplate</t>
    <phoneticPr fontId="1"/>
  </si>
  <si>
    <t>room</t>
    <phoneticPr fontId="1"/>
  </si>
  <si>
    <t>thingName</t>
    <phoneticPr fontId="1"/>
  </si>
  <si>
    <t>region</t>
    <phoneticPr fontId="1"/>
  </si>
  <si>
    <t>city</t>
    <phoneticPr fontId="1"/>
  </si>
  <si>
    <t>serialNumber</t>
    <phoneticPr fontId="1"/>
  </si>
  <si>
    <t>SMZ.AssetEdit.MSR</t>
    <phoneticPr fontId="1"/>
  </si>
  <si>
    <t>CreateAsset</t>
    <phoneticPr fontId="1"/>
  </si>
  <si>
    <t>SMZ.AssetManagement.MSRV</t>
    <phoneticPr fontId="1"/>
  </si>
  <si>
    <t>アセットグループ</t>
    <phoneticPr fontId="1"/>
  </si>
  <si>
    <t>SetPaging</t>
    <phoneticPr fontId="1"/>
  </si>
  <si>
    <t>SMZ.Common.MSRV</t>
    <phoneticPr fontId="1"/>
  </si>
  <si>
    <t>SetResultNumber</t>
    <phoneticPr fontId="1"/>
  </si>
  <si>
    <t>"</t>
    <phoneticPr fontId="1"/>
  </si>
  <si>
    <t>",</t>
    <phoneticPr fontId="1"/>
  </si>
  <si>
    <t>": "</t>
    <phoneticPr fontId="1"/>
  </si>
  <si>
    <t>{</t>
    <phoneticPr fontId="1"/>
  </si>
  <si>
    <t>contactList</t>
    <phoneticPr fontId="1"/>
  </si>
  <si>
    <t>}</t>
    <phoneticPr fontId="1"/>
  </si>
  <si>
    <t>.</t>
    <phoneticPr fontId="1"/>
  </si>
  <si>
    <t>{"targetList":{"dataShape":{"fieldDefinitions":{"thingName":{"name":"thingName","description":"","baseType":"STRING","ordinal":1,"alias":"_0","aspects":{"isPrimaryKey":false}},"assetName":{"name":"assetName","description":"","baseType":"STRING","ordinal":2,"alias":"_1","aspects":{"isPrimaryKey":false}},"modelNumber":{"name":"modelNumber","description":"","baseType":"STRING","ordinal":3,"alias":"_2","aspects":{"isPrimaryKey":false}},"serialNumber":{"name":"serialNumber","description":"","baseType":"STRING","ordinal":4,"alias":"_3","aspects":{"isPrimaryKey":false}},"region":{"name":"region","description":"","baseType":"STRING","ordinal":5,"alias":"_4","aspects":{"isPrimaryKey":false}},"country":{"name":"country","description":"","baseType":"STRING","ordinal":6,"alias":"_5","aspects":{"isPrimaryKey":false}},"province":{"name":"province","description":"","baseType":"STRING","ordinal":7,"alias":"_6","aspects":{"isPrimaryKey":false}},"city":{"name":"city","description":"","baseType":"STRING","ordinal":8,"alias":"_7","aspects":{"isPrimaryKey":false}},"isFTPAsset":{"name":"isFTPAsset","description":"","baseType":"BOOLEAN","ordinal":9,"alias":"_8","aspects":{"isPrimaryKey":false}},"bsId":{"name":"bsId","description":"","baseType":"STRING","ordinal":10,"alias":"_9","aspects":{"isPrimaryKey":false}}}},"rows":[{</t>
    <phoneticPr fontId="1"/>
  </si>
  <si>
    <t>}]},"pageSize":50,"pageNumber":1,"queryFilter":{"sorts":[]}}</t>
    <phoneticPr fontId="1"/>
  </si>
  <si>
    <t>}]}}</t>
    <phoneticPr fontId="1"/>
  </si>
  <si>
    <t>SMZ.RADspeedProSR5.TT</t>
    <phoneticPr fontId="1"/>
  </si>
  <si>
    <t>SMZ.BresTome.TT</t>
    <phoneticPr fontId="1"/>
  </si>
  <si>
    <t>SMZ.Trinias.TT</t>
    <phoneticPr fontId="1"/>
  </si>
  <si>
    <t>SMZ.Trinias.Opera.TT</t>
    <phoneticPr fontId="1"/>
  </si>
  <si>
    <t>SMZ.FLUOROspeed.X1.TT</t>
    <phoneticPr fontId="1"/>
  </si>
  <si>
    <t>SMZ.FlexaF3.TT</t>
    <phoneticPr fontId="1"/>
  </si>
  <si>
    <t>SMZ.DR-300.TT</t>
    <phoneticPr fontId="1"/>
  </si>
  <si>
    <t>SMZ.DAR-8000.TT</t>
    <phoneticPr fontId="1"/>
  </si>
  <si>
    <t>SMZ.Elmammo.TT</t>
    <phoneticPr fontId="1"/>
  </si>
  <si>
    <t>SMZ.CVS_MPC.TT</t>
    <phoneticPr fontId="1"/>
  </si>
  <si>
    <t>SMZ.DR-200.TT</t>
    <phoneticPr fontId="1"/>
  </si>
  <si>
    <t>SMZ.Trinias.smart.TT</t>
    <phoneticPr fontId="1"/>
  </si>
  <si>
    <t>SMZ.FlexaF4.TT</t>
    <phoneticPr fontId="1"/>
  </si>
  <si>
    <t>SMZ.CVS_MPC_2.TT</t>
    <phoneticPr fontId="1"/>
  </si>
  <si>
    <t>SMZ.PET_MPC.TT</t>
    <phoneticPr fontId="1"/>
  </si>
  <si>
    <t>SMZ.DAR-7500.TT</t>
    <phoneticPr fontId="1"/>
  </si>
  <si>
    <t>SMZ.RADspeedProEDGE.TT</t>
    <phoneticPr fontId="1"/>
  </si>
  <si>
    <t>SMZ.DAR-3500.TT</t>
    <phoneticPr fontId="1"/>
  </si>
  <si>
    <t>ThingTemplate</t>
    <phoneticPr fontId="1"/>
  </si>
  <si>
    <t>ここになければComposerから追加する事</t>
    <rPh sb="17" eb="19">
      <t>ツイカ</t>
    </rPh>
    <rPh sb="21" eb="22">
      <t>コト</t>
    </rPh>
    <phoneticPr fontId="1"/>
  </si>
  <si>
    <t>Trinias</t>
  </si>
  <si>
    <t>テスト後は削除</t>
    <rPh sb="3" eb="4">
      <t>ゴ</t>
    </rPh>
    <rPh sb="5" eb="7">
      <t>サクジョ</t>
    </rPh>
    <phoneticPr fontId="1"/>
  </si>
  <si>
    <t xml:space="preserve">": </t>
    <phoneticPr fontId="1"/>
  </si>
  <si>
    <t>,</t>
    <phoneticPr fontId="1"/>
  </si>
  <si>
    <t>":{"dataShape":{"fieldDefinitions":{"userName":{"name":"userName","description":"","baseType":"STRING","ordinal":1,"alias":"_0","aspects":{"isPrimaryKey":false}},"emailAddress":{"name":"emailAddress","description":"","baseType":"STRING","ordinal":2,"alias":"_1","aspects":{"isPrimaryKey":false}},"category":{"name":"category","description":"","baseType":"STRING","ordinal":3,"alias":"_2","aspects":{"isPrimaryKey":false}},"isExist":{"name":"isExist","description":"","baseType":"BOOLEAN","ordinal":4,"alias":"_3","aspects":{"isPrimaryKey":false}}}},"rows":[</t>
    <phoneticPr fontId="1"/>
  </si>
  <si>
    <t>{"</t>
    <phoneticPr fontId="1"/>
  </si>
  <si>
    <t>"}</t>
    <phoneticPr fontId="1"/>
  </si>
  <si>
    <t>]}</t>
    <phoneticPr fontId="1"/>
  </si>
  <si>
    <t>.</t>
    <phoneticPr fontId="1"/>
  </si>
  <si>
    <t>（終端）</t>
    <rPh sb="1" eb="3">
      <t>シュウタン</t>
    </rPh>
    <phoneticPr fontId="1"/>
  </si>
  <si>
    <t>TEST2509_001</t>
  </si>
  <si>
    <t>SMD011</t>
  </si>
  <si>
    <t>**SMD** SMD011</t>
  </si>
  <si>
    <t>SN837768000011</t>
  </si>
  <si>
    <t>SMD2025090111:TRINIAS</t>
  </si>
  <si>
    <t>SMD001</t>
  </si>
  <si>
    <t>モデル</t>
  </si>
  <si>
    <t>ThingTemplate</t>
  </si>
  <si>
    <t>SMZ.Trinias.TT</t>
  </si>
  <si>
    <t>アセットS/N</t>
  </si>
  <si>
    <t>FTP</t>
  </si>
  <si>
    <t>BS_ID</t>
  </si>
  <si>
    <t>SMD_isobe</t>
  </si>
  <si>
    <t>メールアドレス</t>
  </si>
  <si>
    <t>s-isobe+abc@shimadzu.co.jp</t>
  </si>
  <si>
    <t>カテゴリ</t>
  </si>
  <si>
    <t>Distributor</t>
  </si>
  <si>
    <t>アセットグループ</t>
  </si>
  <si>
    <t>Trinias.smart</t>
  </si>
  <si>
    <t>TEST2509_003</t>
  </si>
  <si>
    <t>SMD013</t>
  </si>
  <si>
    <t>X RAY2</t>
  </si>
  <si>
    <t>SN837768000013</t>
  </si>
  <si>
    <t>SMD013 Hospital</t>
    <phoneticPr fontId="1"/>
  </si>
  <si>
    <t>Trinias.Opera</t>
  </si>
  <si>
    <t>TEST2509_002</t>
  </si>
  <si>
    <t>SMD012</t>
  </si>
  <si>
    <t>**SMD** SMD012</t>
  </si>
  <si>
    <t>SMD2025090112:Opera</t>
  </si>
  <si>
    <t>SN837768000012</t>
  </si>
  <si>
    <t>SMD013 Hospital</t>
  </si>
  <si>
    <t>SMZ.Trinias.smart.TT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</si>
</sst>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1">
    <xf numFmtId="0" fontId="0" fillId="0" borderId="0" xfId="0">
      <alignment vertical="center"/>
    </xf>
    <xf numFmtId="0" fontId="0" fillId="0" borderId="0" xfId="0" quotePrefix="1">
      <alignment vertical="center"/>
    </xf>
    <xf numFmtId="0" fontId="0" fillId="2" borderId="0" xfId="0" applyFill="1">
      <alignment vertical="center"/>
    </xf>
    <xf numFmtId="0" fontId="0" fillId="2" borderId="1" xfId="0" applyFill="1" applyBorder="1">
      <alignment vertical="center"/>
    </xf>
    <xf numFmtId="0" fontId="0" fillId="0" borderId="2" xfId="0" applyBorder="1">
      <alignment vertical="center"/>
    </xf>
    <xf numFmtId="0" fontId="0" fillId="2" borderId="3" xfId="0" applyFill="1" applyBorder="1">
      <alignment vertical="center"/>
    </xf>
    <xf numFmtId="0" fontId="0" fillId="3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2" fillId="0" borderId="0" xfId="1" applyAlignment="1">
      <alignment horizontal="left" vertical="center"/>
    </xf>
    <xf numFmtId="0" fontId="0" fillId="0" borderId="0" xfId="0" applyAlignment="1">
      <alignment vertical="center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0</xdr:row>
      <xdr:rowOff>28575</xdr:rowOff>
    </xdr:from>
    <xdr:to>
      <xdr:col>10</xdr:col>
      <xdr:colOff>355409</xdr:colOff>
      <xdr:row>23</xdr:row>
      <xdr:rowOff>39178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934A836B-F336-3129-7E2B-39E6A3A6E4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5250" y="28575"/>
          <a:ext cx="7118159" cy="5487478"/>
        </a:xfrm>
        <a:prstGeom prst="rect">
          <a:avLst/>
        </a:prstGeom>
      </xdr:spPr>
    </xdr:pic>
    <xdr:clientData/>
  </xdr:twoCellAnchor>
  <xdr:twoCellAnchor>
    <xdr:from>
      <xdr:col>4</xdr:col>
      <xdr:colOff>590550</xdr:colOff>
      <xdr:row>2</xdr:row>
      <xdr:rowOff>95250</xdr:rowOff>
    </xdr:from>
    <xdr:to>
      <xdr:col>12</xdr:col>
      <xdr:colOff>400050</xdr:colOff>
      <xdr:row>4</xdr:row>
      <xdr:rowOff>152400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5184DDC4-EFEB-7E6B-B361-364EF72C7EC6}"/>
            </a:ext>
          </a:extLst>
        </xdr:cNvPr>
        <xdr:cNvCxnSpPr/>
      </xdr:nvCxnSpPr>
      <xdr:spPr>
        <a:xfrm flipH="1" flipV="1">
          <a:off x="3333750" y="571500"/>
          <a:ext cx="5295900" cy="5334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628650</xdr:colOff>
      <xdr:row>2</xdr:row>
      <xdr:rowOff>47625</xdr:rowOff>
    </xdr:from>
    <xdr:to>
      <xdr:col>12</xdr:col>
      <xdr:colOff>581025</xdr:colOff>
      <xdr:row>14</xdr:row>
      <xdr:rowOff>95250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7ACBAE58-0BB0-5945-5070-B41FDFFF666B}"/>
            </a:ext>
          </a:extLst>
        </xdr:cNvPr>
        <xdr:cNvCxnSpPr/>
      </xdr:nvCxnSpPr>
      <xdr:spPr>
        <a:xfrm flipH="1" flipV="1">
          <a:off x="6800850" y="523875"/>
          <a:ext cx="2009775" cy="290512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638175</xdr:colOff>
      <xdr:row>4</xdr:row>
      <xdr:rowOff>190500</xdr:rowOff>
    </xdr:from>
    <xdr:to>
      <xdr:col>12</xdr:col>
      <xdr:colOff>647700</xdr:colOff>
      <xdr:row>25</xdr:row>
      <xdr:rowOff>76200</xdr:rowOff>
    </xdr:to>
    <xdr:cxnSp macro="">
      <xdr:nvCxnSpPr>
        <xdr:cNvPr id="8" name="直線矢印コネクタ 7">
          <a:extLst>
            <a:ext uri="{FF2B5EF4-FFF2-40B4-BE49-F238E27FC236}">
              <a16:creationId xmlns:a16="http://schemas.microsoft.com/office/drawing/2014/main" id="{9692ABFA-B50E-BBD3-EB60-12CFDDE4F612}"/>
            </a:ext>
          </a:extLst>
        </xdr:cNvPr>
        <xdr:cNvCxnSpPr/>
      </xdr:nvCxnSpPr>
      <xdr:spPr>
        <a:xfrm flipH="1" flipV="1">
          <a:off x="3381375" y="1143000"/>
          <a:ext cx="5495925" cy="488632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590550</xdr:colOff>
      <xdr:row>4</xdr:row>
      <xdr:rowOff>152400</xdr:rowOff>
    </xdr:from>
    <xdr:to>
      <xdr:col>12</xdr:col>
      <xdr:colOff>533400</xdr:colOff>
      <xdr:row>35</xdr:row>
      <xdr:rowOff>104775</xdr:rowOff>
    </xdr:to>
    <xdr:cxnSp macro="">
      <xdr:nvCxnSpPr>
        <xdr:cNvPr id="13" name="直線矢印コネクタ 12">
          <a:extLst>
            <a:ext uri="{FF2B5EF4-FFF2-40B4-BE49-F238E27FC236}">
              <a16:creationId xmlns:a16="http://schemas.microsoft.com/office/drawing/2014/main" id="{285A53E8-7E50-2714-22BF-61DFD051EDB6}"/>
            </a:ext>
          </a:extLst>
        </xdr:cNvPr>
        <xdr:cNvCxnSpPr/>
      </xdr:nvCxnSpPr>
      <xdr:spPr>
        <a:xfrm flipH="1" flipV="1">
          <a:off x="6762750" y="1104900"/>
          <a:ext cx="2000250" cy="733425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600075</xdr:colOff>
      <xdr:row>6</xdr:row>
      <xdr:rowOff>228600</xdr:rowOff>
    </xdr:from>
    <xdr:to>
      <xdr:col>12</xdr:col>
      <xdr:colOff>476250</xdr:colOff>
      <xdr:row>44</xdr:row>
      <xdr:rowOff>190500</xdr:rowOff>
    </xdr:to>
    <xdr:cxnSp macro="">
      <xdr:nvCxnSpPr>
        <xdr:cNvPr id="15" name="直線矢印コネクタ 14">
          <a:extLst>
            <a:ext uri="{FF2B5EF4-FFF2-40B4-BE49-F238E27FC236}">
              <a16:creationId xmlns:a16="http://schemas.microsoft.com/office/drawing/2014/main" id="{EE30034D-98B4-82F3-7F53-4697FE98E066}"/>
            </a:ext>
          </a:extLst>
        </xdr:cNvPr>
        <xdr:cNvCxnSpPr/>
      </xdr:nvCxnSpPr>
      <xdr:spPr>
        <a:xfrm flipH="1" flipV="1">
          <a:off x="3343275" y="1657350"/>
          <a:ext cx="5362575" cy="901065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581025</xdr:colOff>
      <xdr:row>7</xdr:row>
      <xdr:rowOff>0</xdr:rowOff>
    </xdr:from>
    <xdr:to>
      <xdr:col>12</xdr:col>
      <xdr:colOff>523875</xdr:colOff>
      <xdr:row>54</xdr:row>
      <xdr:rowOff>123825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id="{93B02DFF-0F18-E5EC-1EF3-A9ECD2B6F01A}"/>
            </a:ext>
          </a:extLst>
        </xdr:cNvPr>
        <xdr:cNvCxnSpPr/>
      </xdr:nvCxnSpPr>
      <xdr:spPr>
        <a:xfrm flipH="1" flipV="1">
          <a:off x="6753225" y="1666875"/>
          <a:ext cx="2000250" cy="113157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581025</xdr:colOff>
      <xdr:row>8</xdr:row>
      <xdr:rowOff>57150</xdr:rowOff>
    </xdr:from>
    <xdr:to>
      <xdr:col>12</xdr:col>
      <xdr:colOff>447675</xdr:colOff>
      <xdr:row>64</xdr:row>
      <xdr:rowOff>95250</xdr:rowOff>
    </xdr:to>
    <xdr:cxnSp macro="">
      <xdr:nvCxnSpPr>
        <xdr:cNvPr id="19" name="直線矢印コネクタ 18">
          <a:extLst>
            <a:ext uri="{FF2B5EF4-FFF2-40B4-BE49-F238E27FC236}">
              <a16:creationId xmlns:a16="http://schemas.microsoft.com/office/drawing/2014/main" id="{3E4F4714-87A3-0316-02C2-2F79B724476B}"/>
            </a:ext>
          </a:extLst>
        </xdr:cNvPr>
        <xdr:cNvCxnSpPr/>
      </xdr:nvCxnSpPr>
      <xdr:spPr>
        <a:xfrm flipH="1" flipV="1">
          <a:off x="6753225" y="1962150"/>
          <a:ext cx="1924050" cy="133731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533400</xdr:colOff>
      <xdr:row>9</xdr:row>
      <xdr:rowOff>123825</xdr:rowOff>
    </xdr:from>
    <xdr:to>
      <xdr:col>12</xdr:col>
      <xdr:colOff>533400</xdr:colOff>
      <xdr:row>74</xdr:row>
      <xdr:rowOff>104775</xdr:rowOff>
    </xdr:to>
    <xdr:cxnSp macro="">
      <xdr:nvCxnSpPr>
        <xdr:cNvPr id="21" name="直線矢印コネクタ 20">
          <a:extLst>
            <a:ext uri="{FF2B5EF4-FFF2-40B4-BE49-F238E27FC236}">
              <a16:creationId xmlns:a16="http://schemas.microsoft.com/office/drawing/2014/main" id="{C59222C1-BE8A-B94D-53DF-EAB88815055E}"/>
            </a:ext>
          </a:extLst>
        </xdr:cNvPr>
        <xdr:cNvCxnSpPr/>
      </xdr:nvCxnSpPr>
      <xdr:spPr>
        <a:xfrm flipH="1" flipV="1">
          <a:off x="6705600" y="2266950"/>
          <a:ext cx="2057400" cy="154590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542925</xdr:colOff>
      <xdr:row>14</xdr:row>
      <xdr:rowOff>28575</xdr:rowOff>
    </xdr:from>
    <xdr:to>
      <xdr:col>12</xdr:col>
      <xdr:colOff>314325</xdr:colOff>
      <xdr:row>84</xdr:row>
      <xdr:rowOff>200025</xdr:rowOff>
    </xdr:to>
    <xdr:cxnSp macro="">
      <xdr:nvCxnSpPr>
        <xdr:cNvPr id="23" name="直線矢印コネクタ 22">
          <a:extLst>
            <a:ext uri="{FF2B5EF4-FFF2-40B4-BE49-F238E27FC236}">
              <a16:creationId xmlns:a16="http://schemas.microsoft.com/office/drawing/2014/main" id="{7A37F2FA-EF03-96AB-6428-16A5026567BF}"/>
            </a:ext>
          </a:extLst>
        </xdr:cNvPr>
        <xdr:cNvCxnSpPr/>
      </xdr:nvCxnSpPr>
      <xdr:spPr>
        <a:xfrm flipH="1" flipV="1">
          <a:off x="3286125" y="3362325"/>
          <a:ext cx="5257800" cy="16840200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514350</xdr:colOff>
      <xdr:row>14</xdr:row>
      <xdr:rowOff>47625</xdr:rowOff>
    </xdr:from>
    <xdr:to>
      <xdr:col>12</xdr:col>
      <xdr:colOff>409575</xdr:colOff>
      <xdr:row>94</xdr:row>
      <xdr:rowOff>114300</xdr:rowOff>
    </xdr:to>
    <xdr:cxnSp macro="">
      <xdr:nvCxnSpPr>
        <xdr:cNvPr id="25" name="直線矢印コネクタ 24">
          <a:extLst>
            <a:ext uri="{FF2B5EF4-FFF2-40B4-BE49-F238E27FC236}">
              <a16:creationId xmlns:a16="http://schemas.microsoft.com/office/drawing/2014/main" id="{207328F8-F12A-4532-D9E1-DC3E2D816470}"/>
            </a:ext>
          </a:extLst>
        </xdr:cNvPr>
        <xdr:cNvCxnSpPr/>
      </xdr:nvCxnSpPr>
      <xdr:spPr>
        <a:xfrm flipH="1" flipV="1">
          <a:off x="6686550" y="3381375"/>
          <a:ext cx="1952625" cy="1911667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774700</xdr:colOff>
          <xdr:row>0</xdr:row>
          <xdr:rowOff>107950</xdr:rowOff>
        </xdr:from>
        <xdr:to>
          <xdr:col>2</xdr:col>
          <xdr:colOff>1060450</xdr:colOff>
          <xdr:row>2</xdr:row>
          <xdr:rowOff>69850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エクスポート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-isobe+abc@shimadzu.co.jp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E22857-050E-4AA7-996B-BD0D6E0BB020}">
  <sheetPr codeName="Sheet1"/>
  <dimension ref="M1:M122"/>
  <sheetViews>
    <sheetView workbookViewId="0">
      <selection activeCell="S13" sqref="S13"/>
    </sheetView>
  </sheetViews>
  <sheetFormatPr defaultRowHeight="18" x14ac:dyDescent="0.55000000000000004"/>
  <sheetData>
    <row r="1" spans="13:13" x14ac:dyDescent="0.55000000000000004">
      <c r="M1" t="s">
        <v>0</v>
      </c>
    </row>
    <row r="2" spans="13:13" x14ac:dyDescent="0.55000000000000004">
      <c r="M2" t="s">
        <v>10</v>
      </c>
    </row>
    <row r="3" spans="13:13" x14ac:dyDescent="0.55000000000000004">
      <c r="M3" t="s">
        <v>11</v>
      </c>
    </row>
    <row r="4" spans="13:13" x14ac:dyDescent="0.55000000000000004">
      <c r="M4" t="s">
        <v>12</v>
      </c>
    </row>
    <row r="5" spans="13:13" x14ac:dyDescent="0.55000000000000004">
      <c r="M5" t="s">
        <v>13</v>
      </c>
    </row>
    <row r="6" spans="13:13" x14ac:dyDescent="0.55000000000000004">
      <c r="M6" t="s">
        <v>14</v>
      </c>
    </row>
    <row r="7" spans="13:13" x14ac:dyDescent="0.55000000000000004">
      <c r="M7" t="s">
        <v>15</v>
      </c>
    </row>
    <row r="8" spans="13:13" x14ac:dyDescent="0.55000000000000004">
      <c r="M8" t="s">
        <v>16</v>
      </c>
    </row>
    <row r="9" spans="13:13" x14ac:dyDescent="0.55000000000000004">
      <c r="M9" t="s">
        <v>17</v>
      </c>
    </row>
    <row r="10" spans="13:13" x14ac:dyDescent="0.55000000000000004">
      <c r="M10" t="s">
        <v>18</v>
      </c>
    </row>
    <row r="11" spans="13:13" x14ac:dyDescent="0.55000000000000004">
      <c r="M11" t="s">
        <v>19</v>
      </c>
    </row>
    <row r="12" spans="13:13" x14ac:dyDescent="0.55000000000000004">
      <c r="M12" t="s">
        <v>20</v>
      </c>
    </row>
    <row r="13" spans="13:13" x14ac:dyDescent="0.55000000000000004">
      <c r="M13" t="s">
        <v>1</v>
      </c>
    </row>
    <row r="14" spans="13:13" x14ac:dyDescent="0.55000000000000004">
      <c r="M14" t="s">
        <v>2</v>
      </c>
    </row>
    <row r="15" spans="13:13" x14ac:dyDescent="0.55000000000000004">
      <c r="M15" t="s">
        <v>21</v>
      </c>
    </row>
    <row r="16" spans="13:13" x14ac:dyDescent="0.55000000000000004">
      <c r="M16" t="s">
        <v>22</v>
      </c>
    </row>
    <row r="17" spans="13:13" x14ac:dyDescent="0.55000000000000004">
      <c r="M17" t="s">
        <v>15</v>
      </c>
    </row>
    <row r="18" spans="13:13" x14ac:dyDescent="0.55000000000000004">
      <c r="M18" t="s">
        <v>16</v>
      </c>
    </row>
    <row r="19" spans="13:13" x14ac:dyDescent="0.55000000000000004">
      <c r="M19" t="s">
        <v>23</v>
      </c>
    </row>
    <row r="20" spans="13:13" x14ac:dyDescent="0.55000000000000004">
      <c r="M20" t="s">
        <v>24</v>
      </c>
    </row>
    <row r="21" spans="13:13" x14ac:dyDescent="0.55000000000000004">
      <c r="M21" t="s">
        <v>19</v>
      </c>
    </row>
    <row r="22" spans="13:13" x14ac:dyDescent="0.55000000000000004">
      <c r="M22" t="s">
        <v>20</v>
      </c>
    </row>
    <row r="23" spans="13:13" x14ac:dyDescent="0.55000000000000004">
      <c r="M23" t="s">
        <v>1</v>
      </c>
    </row>
    <row r="24" spans="13:13" x14ac:dyDescent="0.55000000000000004">
      <c r="M24" t="s">
        <v>2</v>
      </c>
    </row>
    <row r="25" spans="13:13" x14ac:dyDescent="0.55000000000000004">
      <c r="M25" t="s">
        <v>25</v>
      </c>
    </row>
    <row r="26" spans="13:13" x14ac:dyDescent="0.55000000000000004">
      <c r="M26" t="s">
        <v>26</v>
      </c>
    </row>
    <row r="27" spans="13:13" x14ac:dyDescent="0.55000000000000004">
      <c r="M27" t="s">
        <v>15</v>
      </c>
    </row>
    <row r="28" spans="13:13" x14ac:dyDescent="0.55000000000000004">
      <c r="M28" t="s">
        <v>16</v>
      </c>
    </row>
    <row r="29" spans="13:13" x14ac:dyDescent="0.55000000000000004">
      <c r="M29" t="s">
        <v>27</v>
      </c>
    </row>
    <row r="30" spans="13:13" x14ac:dyDescent="0.55000000000000004">
      <c r="M30" t="s">
        <v>28</v>
      </c>
    </row>
    <row r="31" spans="13:13" x14ac:dyDescent="0.55000000000000004">
      <c r="M31" t="s">
        <v>19</v>
      </c>
    </row>
    <row r="32" spans="13:13" x14ac:dyDescent="0.55000000000000004">
      <c r="M32" t="s">
        <v>20</v>
      </c>
    </row>
    <row r="33" spans="13:13" x14ac:dyDescent="0.55000000000000004">
      <c r="M33" t="s">
        <v>1</v>
      </c>
    </row>
    <row r="34" spans="13:13" x14ac:dyDescent="0.55000000000000004">
      <c r="M34" t="s">
        <v>2</v>
      </c>
    </row>
    <row r="35" spans="13:13" x14ac:dyDescent="0.55000000000000004">
      <c r="M35" t="s">
        <v>29</v>
      </c>
    </row>
    <row r="36" spans="13:13" x14ac:dyDescent="0.55000000000000004">
      <c r="M36" t="s">
        <v>30</v>
      </c>
    </row>
    <row r="37" spans="13:13" x14ac:dyDescent="0.55000000000000004">
      <c r="M37" t="s">
        <v>15</v>
      </c>
    </row>
    <row r="38" spans="13:13" x14ac:dyDescent="0.55000000000000004">
      <c r="M38" t="s">
        <v>16</v>
      </c>
    </row>
    <row r="39" spans="13:13" x14ac:dyDescent="0.55000000000000004">
      <c r="M39" t="s">
        <v>31</v>
      </c>
    </row>
    <row r="40" spans="13:13" x14ac:dyDescent="0.55000000000000004">
      <c r="M40" t="s">
        <v>32</v>
      </c>
    </row>
    <row r="41" spans="13:13" x14ac:dyDescent="0.55000000000000004">
      <c r="M41" t="s">
        <v>19</v>
      </c>
    </row>
    <row r="42" spans="13:13" x14ac:dyDescent="0.55000000000000004">
      <c r="M42" t="s">
        <v>20</v>
      </c>
    </row>
    <row r="43" spans="13:13" x14ac:dyDescent="0.55000000000000004">
      <c r="M43" t="s">
        <v>1</v>
      </c>
    </row>
    <row r="44" spans="13:13" x14ac:dyDescent="0.55000000000000004">
      <c r="M44" t="s">
        <v>2</v>
      </c>
    </row>
    <row r="45" spans="13:13" x14ac:dyDescent="0.55000000000000004">
      <c r="M45" t="s">
        <v>33</v>
      </c>
    </row>
    <row r="46" spans="13:13" x14ac:dyDescent="0.55000000000000004">
      <c r="M46" t="s">
        <v>34</v>
      </c>
    </row>
    <row r="47" spans="13:13" x14ac:dyDescent="0.55000000000000004">
      <c r="M47" t="s">
        <v>15</v>
      </c>
    </row>
    <row r="48" spans="13:13" x14ac:dyDescent="0.55000000000000004">
      <c r="M48" t="s">
        <v>16</v>
      </c>
    </row>
    <row r="49" spans="13:13" x14ac:dyDescent="0.55000000000000004">
      <c r="M49" t="s">
        <v>35</v>
      </c>
    </row>
    <row r="50" spans="13:13" x14ac:dyDescent="0.55000000000000004">
      <c r="M50" t="s">
        <v>36</v>
      </c>
    </row>
    <row r="51" spans="13:13" x14ac:dyDescent="0.55000000000000004">
      <c r="M51" t="s">
        <v>19</v>
      </c>
    </row>
    <row r="52" spans="13:13" x14ac:dyDescent="0.55000000000000004">
      <c r="M52" t="s">
        <v>20</v>
      </c>
    </row>
    <row r="53" spans="13:13" x14ac:dyDescent="0.55000000000000004">
      <c r="M53" t="s">
        <v>1</v>
      </c>
    </row>
    <row r="54" spans="13:13" x14ac:dyDescent="0.55000000000000004">
      <c r="M54" t="s">
        <v>2</v>
      </c>
    </row>
    <row r="55" spans="13:13" x14ac:dyDescent="0.55000000000000004">
      <c r="M55" t="s">
        <v>37</v>
      </c>
    </row>
    <row r="56" spans="13:13" x14ac:dyDescent="0.55000000000000004">
      <c r="M56" t="s">
        <v>38</v>
      </c>
    </row>
    <row r="57" spans="13:13" x14ac:dyDescent="0.55000000000000004">
      <c r="M57" t="s">
        <v>15</v>
      </c>
    </row>
    <row r="58" spans="13:13" x14ac:dyDescent="0.55000000000000004">
      <c r="M58" t="s">
        <v>16</v>
      </c>
    </row>
    <row r="59" spans="13:13" x14ac:dyDescent="0.55000000000000004">
      <c r="M59" t="s">
        <v>39</v>
      </c>
    </row>
    <row r="60" spans="13:13" x14ac:dyDescent="0.55000000000000004">
      <c r="M60" t="s">
        <v>40</v>
      </c>
    </row>
    <row r="61" spans="13:13" x14ac:dyDescent="0.55000000000000004">
      <c r="M61" t="s">
        <v>19</v>
      </c>
    </row>
    <row r="62" spans="13:13" x14ac:dyDescent="0.55000000000000004">
      <c r="M62" t="s">
        <v>20</v>
      </c>
    </row>
    <row r="63" spans="13:13" x14ac:dyDescent="0.55000000000000004">
      <c r="M63" t="s">
        <v>1</v>
      </c>
    </row>
    <row r="64" spans="13:13" x14ac:dyDescent="0.55000000000000004">
      <c r="M64" t="s">
        <v>2</v>
      </c>
    </row>
    <row r="65" spans="13:13" x14ac:dyDescent="0.55000000000000004">
      <c r="M65" t="s">
        <v>41</v>
      </c>
    </row>
    <row r="66" spans="13:13" x14ac:dyDescent="0.55000000000000004">
      <c r="M66" t="s">
        <v>42</v>
      </c>
    </row>
    <row r="67" spans="13:13" x14ac:dyDescent="0.55000000000000004">
      <c r="M67" t="s">
        <v>15</v>
      </c>
    </row>
    <row r="68" spans="13:13" x14ac:dyDescent="0.55000000000000004">
      <c r="M68" t="s">
        <v>16</v>
      </c>
    </row>
    <row r="69" spans="13:13" x14ac:dyDescent="0.55000000000000004">
      <c r="M69" t="s">
        <v>43</v>
      </c>
    </row>
    <row r="70" spans="13:13" x14ac:dyDescent="0.55000000000000004">
      <c r="M70" t="s">
        <v>44</v>
      </c>
    </row>
    <row r="71" spans="13:13" x14ac:dyDescent="0.55000000000000004">
      <c r="M71" t="s">
        <v>19</v>
      </c>
    </row>
    <row r="72" spans="13:13" x14ac:dyDescent="0.55000000000000004">
      <c r="M72" t="s">
        <v>20</v>
      </c>
    </row>
    <row r="73" spans="13:13" x14ac:dyDescent="0.55000000000000004">
      <c r="M73" t="s">
        <v>1</v>
      </c>
    </row>
    <row r="74" spans="13:13" x14ac:dyDescent="0.55000000000000004">
      <c r="M74" t="s">
        <v>2</v>
      </c>
    </row>
    <row r="75" spans="13:13" x14ac:dyDescent="0.55000000000000004">
      <c r="M75" t="s">
        <v>45</v>
      </c>
    </row>
    <row r="76" spans="13:13" x14ac:dyDescent="0.55000000000000004">
      <c r="M76" t="s">
        <v>46</v>
      </c>
    </row>
    <row r="77" spans="13:13" x14ac:dyDescent="0.55000000000000004">
      <c r="M77" t="s">
        <v>15</v>
      </c>
    </row>
    <row r="78" spans="13:13" x14ac:dyDescent="0.55000000000000004">
      <c r="M78" t="s">
        <v>16</v>
      </c>
    </row>
    <row r="79" spans="13:13" x14ac:dyDescent="0.55000000000000004">
      <c r="M79" t="s">
        <v>47</v>
      </c>
    </row>
    <row r="80" spans="13:13" x14ac:dyDescent="0.55000000000000004">
      <c r="M80" t="s">
        <v>48</v>
      </c>
    </row>
    <row r="81" spans="13:13" x14ac:dyDescent="0.55000000000000004">
      <c r="M81" t="s">
        <v>19</v>
      </c>
    </row>
    <row r="82" spans="13:13" x14ac:dyDescent="0.55000000000000004">
      <c r="M82" t="s">
        <v>20</v>
      </c>
    </row>
    <row r="83" spans="13:13" x14ac:dyDescent="0.55000000000000004">
      <c r="M83" t="s">
        <v>1</v>
      </c>
    </row>
    <row r="84" spans="13:13" x14ac:dyDescent="0.55000000000000004">
      <c r="M84" t="s">
        <v>2</v>
      </c>
    </row>
    <row r="85" spans="13:13" x14ac:dyDescent="0.55000000000000004">
      <c r="M85" t="s">
        <v>49</v>
      </c>
    </row>
    <row r="86" spans="13:13" x14ac:dyDescent="0.55000000000000004">
      <c r="M86" t="s">
        <v>50</v>
      </c>
    </row>
    <row r="87" spans="13:13" x14ac:dyDescent="0.55000000000000004">
      <c r="M87" t="s">
        <v>15</v>
      </c>
    </row>
    <row r="88" spans="13:13" x14ac:dyDescent="0.55000000000000004">
      <c r="M88" t="s">
        <v>51</v>
      </c>
    </row>
    <row r="89" spans="13:13" x14ac:dyDescent="0.55000000000000004">
      <c r="M89" t="s">
        <v>52</v>
      </c>
    </row>
    <row r="90" spans="13:13" x14ac:dyDescent="0.55000000000000004">
      <c r="M90" t="s">
        <v>53</v>
      </c>
    </row>
    <row r="91" spans="13:13" x14ac:dyDescent="0.55000000000000004">
      <c r="M91" t="s">
        <v>19</v>
      </c>
    </row>
    <row r="92" spans="13:13" x14ac:dyDescent="0.55000000000000004">
      <c r="M92" t="s">
        <v>20</v>
      </c>
    </row>
    <row r="93" spans="13:13" x14ac:dyDescent="0.55000000000000004">
      <c r="M93" t="s">
        <v>1</v>
      </c>
    </row>
    <row r="94" spans="13:13" x14ac:dyDescent="0.55000000000000004">
      <c r="M94" t="s">
        <v>2</v>
      </c>
    </row>
    <row r="95" spans="13:13" x14ac:dyDescent="0.55000000000000004">
      <c r="M95" t="s">
        <v>54</v>
      </c>
    </row>
    <row r="96" spans="13:13" x14ac:dyDescent="0.55000000000000004">
      <c r="M96" t="s">
        <v>55</v>
      </c>
    </row>
    <row r="97" spans="13:13" x14ac:dyDescent="0.55000000000000004">
      <c r="M97" t="s">
        <v>15</v>
      </c>
    </row>
    <row r="98" spans="13:13" x14ac:dyDescent="0.55000000000000004">
      <c r="M98" t="s">
        <v>16</v>
      </c>
    </row>
    <row r="99" spans="13:13" x14ac:dyDescent="0.55000000000000004">
      <c r="M99" t="s">
        <v>56</v>
      </c>
    </row>
    <row r="100" spans="13:13" x14ac:dyDescent="0.55000000000000004">
      <c r="M100" t="s">
        <v>57</v>
      </c>
    </row>
    <row r="101" spans="13:13" x14ac:dyDescent="0.55000000000000004">
      <c r="M101" t="s">
        <v>19</v>
      </c>
    </row>
    <row r="102" spans="13:13" x14ac:dyDescent="0.55000000000000004">
      <c r="M102" t="s">
        <v>20</v>
      </c>
    </row>
    <row r="103" spans="13:13" x14ac:dyDescent="0.55000000000000004">
      <c r="M103" t="s">
        <v>1</v>
      </c>
    </row>
    <row r="104" spans="13:13" x14ac:dyDescent="0.55000000000000004">
      <c r="M104" t="s">
        <v>3</v>
      </c>
    </row>
    <row r="105" spans="13:13" x14ac:dyDescent="0.55000000000000004">
      <c r="M105" t="s">
        <v>4</v>
      </c>
    </row>
    <row r="106" spans="13:13" x14ac:dyDescent="0.55000000000000004">
      <c r="M106" t="s">
        <v>5</v>
      </c>
    </row>
    <row r="107" spans="13:13" x14ac:dyDescent="0.55000000000000004">
      <c r="M107" t="s">
        <v>58</v>
      </c>
    </row>
    <row r="108" spans="13:13" x14ac:dyDescent="0.55000000000000004">
      <c r="M108" t="s">
        <v>6</v>
      </c>
    </row>
    <row r="109" spans="13:13" x14ac:dyDescent="0.55000000000000004">
      <c r="M109" t="s">
        <v>59</v>
      </c>
    </row>
    <row r="110" spans="13:13" x14ac:dyDescent="0.55000000000000004">
      <c r="M110" t="s">
        <v>60</v>
      </c>
    </row>
    <row r="111" spans="13:13" x14ac:dyDescent="0.55000000000000004">
      <c r="M111" t="s">
        <v>61</v>
      </c>
    </row>
    <row r="112" spans="13:13" x14ac:dyDescent="0.55000000000000004">
      <c r="M112" t="s">
        <v>62</v>
      </c>
    </row>
    <row r="113" spans="13:13" x14ac:dyDescent="0.55000000000000004">
      <c r="M113" t="s">
        <v>63</v>
      </c>
    </row>
    <row r="114" spans="13:13" x14ac:dyDescent="0.55000000000000004">
      <c r="M114" t="s">
        <v>64</v>
      </c>
    </row>
    <row r="115" spans="13:13" x14ac:dyDescent="0.55000000000000004">
      <c r="M115" t="s">
        <v>65</v>
      </c>
    </row>
    <row r="116" spans="13:13" x14ac:dyDescent="0.55000000000000004">
      <c r="M116" t="s">
        <v>66</v>
      </c>
    </row>
    <row r="117" spans="13:13" x14ac:dyDescent="0.55000000000000004">
      <c r="M117" t="s">
        <v>67</v>
      </c>
    </row>
    <row r="118" spans="13:13" x14ac:dyDescent="0.55000000000000004">
      <c r="M118" t="s">
        <v>68</v>
      </c>
    </row>
    <row r="119" spans="13:13" x14ac:dyDescent="0.55000000000000004">
      <c r="M119" t="s">
        <v>4</v>
      </c>
    </row>
    <row r="120" spans="13:13" x14ac:dyDescent="0.55000000000000004">
      <c r="M120" t="s">
        <v>7</v>
      </c>
    </row>
    <row r="121" spans="13:13" x14ac:dyDescent="0.55000000000000004">
      <c r="M121" t="s">
        <v>8</v>
      </c>
    </row>
    <row r="122" spans="13:13" x14ac:dyDescent="0.55000000000000004">
      <c r="M122" t="s">
        <v>9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E31C54-1C3B-41AC-81B0-F3A3A268B79E}">
  <sheetPr codeName="Sheet2"/>
  <dimension ref="A1:Y90"/>
  <sheetViews>
    <sheetView tabSelected="1" workbookViewId="0">
      <selection activeCell="C19" sqref="C19"/>
    </sheetView>
  </sheetViews>
  <sheetFormatPr defaultRowHeight="18" x14ac:dyDescent="0.55000000000000004"/>
  <cols>
    <col min="1" max="1" width="4.5" customWidth="1"/>
    <col min="2" max="2" width="14.33203125" customWidth="1"/>
    <col min="3" max="3" width="38.5" customWidth="1"/>
    <col min="4" max="4" width="14.25" bestFit="1" customWidth="1"/>
    <col min="5" max="7" width="2.25" customWidth="1"/>
    <col min="8" max="9" width="2.5" customWidth="1"/>
    <col min="10" max="10" width="31.83203125" customWidth="1"/>
    <col min="11" max="11" width="2.33203125" customWidth="1"/>
    <col min="12" max="14" width="2.25" customWidth="1"/>
    <col min="15" max="16" width="2.5" customWidth="1"/>
    <col min="17" max="17" width="31.83203125" customWidth="1"/>
    <col min="18" max="18" width="2.33203125" customWidth="1"/>
    <col min="19" max="21" width="2.25" customWidth="1"/>
    <col min="22" max="23" width="2.5" customWidth="1"/>
    <col min="24" max="24" width="31.83203125" customWidth="1"/>
    <col min="25" max="25" width="2.33203125" customWidth="1"/>
  </cols>
  <sheetData>
    <row r="1" spans="1:25" x14ac:dyDescent="0.55000000000000004">
      <c r="J1" t="s">
        <v>119</v>
      </c>
      <c r="Q1" t="s">
        <v>121</v>
      </c>
      <c r="X1" t="s">
        <v>124</v>
      </c>
    </row>
    <row r="2" spans="1:25" x14ac:dyDescent="0.55000000000000004">
      <c r="J2" t="s">
        <v>120</v>
      </c>
      <c r="Q2" t="s">
        <v>123</v>
      </c>
      <c r="X2" t="s">
        <v>125</v>
      </c>
    </row>
    <row r="3" spans="1:25" x14ac:dyDescent="0.55000000000000004">
      <c r="J3" s="2" t="str">
        <f>_xlfn.TEXTJOIN("",TRUE,J4:J33)</f>
        <v>{"thingName": "TEST2509_003","assetName": "SMD013","description": "テスト後は削除","modelNumber": "Trinias.smart","thingTemplate": "SMZ.Trinias.smart.TT","serialNumber": "SN837768000013","customer": "SMD013 Hospital","room": "X RAY2","region": "","country": "","postalCode": "","state": "","province": "","city": "","addressLine1": "","addressLine2": "","latitude": 0,"longitude": 0,"remarks": "","isFTPAsset": "FALSE","bsId": "","contactList":{"dataShape":{"fieldDefinitions":{"userName":{"name":"userName","description":"","baseType":"STRING","ordinal":1,"alias":"_0","aspects":{"isPrimaryKey":false}},"emailAddress":{"name":"emailAddress","description":"","baseType":"STRING","ordinal":2,"alias":"_1","aspects":{"isPrimaryKey":false}},"category":{"name":"category","description":"","baseType":"STRING","ordinal":3,"alias":"_2","aspects":{"isPrimaryKey":false}},"isExist":{"name":"isExist","description":"","baseType":"BOOLEAN","ordinal":4,"alias":"_3","aspects":{"isPrimaryKey":false}}}},"rows":[{"userName": "SMD_isobe","emailAddress": "s-isobe+abc@shimadzu.co.jp","category": "Distributor","_isSelected": "FALSE"}]}}</v>
      </c>
      <c r="K3" t="s">
        <v>164</v>
      </c>
      <c r="Q3" s="2" t="str">
        <f>_xlfn.TEXTJOIN("",TRUE,Q4:Q33)</f>
        <v>{"targetList":{"dataShape":{"fieldDefinitions":{"thingName":{"name":"thingName","description":"","baseType":"STRING","ordinal":1,"alias":"_0","aspects":{"isPrimaryKey":false}},"assetName":{"name":"assetName","description":"","baseType":"STRING","ordinal":2,"alias":"_1","aspects":{"isPrimaryKey":false}},"modelNumber":{"name":"modelNumber","description":"","baseType":"STRING","ordinal":3,"alias":"_2","aspects":{"isPrimaryKey":false}},"serialNumber":{"name":"serialNumber","description":"","baseType":"STRING","ordinal":4,"alias":"_3","aspects":{"isPrimaryKey":false}},"region":{"name":"region","description":"","baseType":"STRING","ordinal":5,"alias":"_4","aspects":{"isPrimaryKey":false}},"country":{"name":"country","description":"","baseType":"STRING","ordinal":6,"alias":"_5","aspects":{"isPrimaryKey":false}},"province":{"name":"province","description":"","baseType":"STRING","ordinal":7,"alias":"_6","aspects":{"isPrimaryKey":false}},"city":{"name":"city","description":"","baseType":"STRING","ordinal":8,"alias":"_7","aspects":{"isPrimaryKey":false}},"isFTPAsset":{"name":"isFTPAsset","description":"","baseType":"BOOLEAN","ordinal":9,"alias":"_8","aspects":{"isPrimaryKey":false}},"bsId":{"name":"bsId","description":"","baseType":"STRING","ordinal":10,"alias":"_9","aspects":{"isPrimaryKey":false}}}},"rows":[{"thingName": "TEST2509_003","assetName": "SMD013","modelNumber": "Trinias.smart","serialNumber": "SN837768000013","region": "","country": "","province": "","isFTPAsset": "FALSE","bsId": ""}]},"pageSize":50,"pageNumber":1,"queryFilter":{"sorts":[]}}</v>
      </c>
      <c r="R3" t="s">
        <v>164</v>
      </c>
      <c r="S3" t="s">
        <v>164</v>
      </c>
      <c r="X3" s="2" t="str">
        <f>_xlfn.TEXTJOIN("",TRUE,X4:X33)</f>
        <v>{"targetList":{"dataShape":{"fieldDefinitions":{"thingName":{"name":"thingName","description":"","baseType":"STRING","ordinal":1,"alias":"_0","aspects":{"isPrimaryKey":false}},"assetName":{"name":"assetName","description":"","baseType":"STRING","ordinal":2,"alias":"_1","aspects":{"isPrimaryKey":false}},"modelNumber":{"name":"modelNumber","description":"","baseType":"STRING","ordinal":3,"alias":"_2","aspects":{"isPrimaryKey":false}},"serialNumber":{"name":"serialNumber","description":"","baseType":"STRING","ordinal":4,"alias":"_3","aspects":{"isPrimaryKey":false}},"region":{"name":"region","description":"","baseType":"STRING","ordinal":5,"alias":"_4","aspects":{"isPrimaryKey":false}},"country":{"name":"country","description":"","baseType":"STRING","ordinal":6,"alias":"_5","aspects":{"isPrimaryKey":false}},"province":{"name":"province","description":"","baseType":"STRING","ordinal":7,"alias":"_6","aspects":{"isPrimaryKey":false}},"city":{"name":"city","description":"","baseType":"STRING","ordinal":8,"alias":"_7","aspects":{"isPrimaryKey":false}},"isFTPAsset":{"name":"isFTPAsset","description":"","baseType":"BOOLEAN","ordinal":9,"alias":"_8","aspects":{"isPrimaryKey":false}},"bsId":{"name":"bsId","description":"","baseType":"STRING","ordinal":10,"alias":"_9","aspects":{"isPrimaryKey":false}}}},"rows":[{"thingName": "TEST2509_003","assetName": "SMD013","modelNumber": "Trinias.smart","serialNumber": "SN837768000013","region": "","country": "","province": "","city": "","isFTPAsset": "FALSE","bsId": ""}]}}</v>
      </c>
      <c r="Y3" t="s">
        <v>164</v>
      </c>
    </row>
    <row r="4" spans="1:25" s="2" customFormat="1" x14ac:dyDescent="0.55000000000000004">
      <c r="C4" s="7"/>
      <c r="E4" s="2" t="s">
        <v>129</v>
      </c>
      <c r="J4" s="3" t="str">
        <f t="shared" ref="J4:J33" si="0">E4&amp;F4&amp;$D4&amp;G4&amp;$C4&amp;H4</f>
        <v>{</v>
      </c>
      <c r="K4" s="2" t="s">
        <v>164</v>
      </c>
      <c r="L4" s="2" t="s">
        <v>133</v>
      </c>
      <c r="Q4" s="3" t="str">
        <f>L4&amp;M4&amp;$D4&amp;N4&amp;$C4&amp;O4</f>
        <v>{"targetList":{"dataShape":{"fieldDefinitions":{"thingName":{"name":"thingName","description":"","baseType":"STRING","ordinal":1,"alias":"_0","aspects":{"isPrimaryKey":false}},"assetName":{"name":"assetName","description":"","baseType":"STRING","ordinal":2,"alias":"_1","aspects":{"isPrimaryKey":false}},"modelNumber":{"name":"modelNumber","description":"","baseType":"STRING","ordinal":3,"alias":"_2","aspects":{"isPrimaryKey":false}},"serialNumber":{"name":"serialNumber","description":"","baseType":"STRING","ordinal":4,"alias":"_3","aspects":{"isPrimaryKey":false}},"region":{"name":"region","description":"","baseType":"STRING","ordinal":5,"alias":"_4","aspects":{"isPrimaryKey":false}},"country":{"name":"country","description":"","baseType":"STRING","ordinal":6,"alias":"_5","aspects":{"isPrimaryKey":false}},"province":{"name":"province","description":"","baseType":"STRING","ordinal":7,"alias":"_6","aspects":{"isPrimaryKey":false}},"city":{"name":"city","description":"","baseType":"STRING","ordinal":8,"alias":"_7","aspects":{"isPrimaryKey":false}},"isFTPAsset":{"name":"isFTPAsset","description":"","baseType":"BOOLEAN","ordinal":9,"alias":"_8","aspects":{"isPrimaryKey":false}},"bsId":{"name":"bsId","description":"","baseType":"STRING","ordinal":10,"alias":"_9","aspects":{"isPrimaryKey":false}}}},"rows":[{</v>
      </c>
      <c r="R4" s="2" t="s">
        <v>164</v>
      </c>
      <c r="S4" s="2" t="s">
        <v>133</v>
      </c>
      <c r="X4" s="3" t="str">
        <f>S4&amp;T4&amp;$D4&amp;U4&amp;$C4&amp;V4</f>
        <v>{"targetList":{"dataShape":{"fieldDefinitions":{"thingName":{"name":"thingName","description":"","baseType":"STRING","ordinal":1,"alias":"_0","aspects":{"isPrimaryKey":false}},"assetName":{"name":"assetName","description":"","baseType":"STRING","ordinal":2,"alias":"_1","aspects":{"isPrimaryKey":false}},"modelNumber":{"name":"modelNumber","description":"","baseType":"STRING","ordinal":3,"alias":"_2","aspects":{"isPrimaryKey":false}},"serialNumber":{"name":"serialNumber","description":"","baseType":"STRING","ordinal":4,"alias":"_3","aspects":{"isPrimaryKey":false}},"region":{"name":"region","description":"","baseType":"STRING","ordinal":5,"alias":"_4","aspects":{"isPrimaryKey":false}},"country":{"name":"country","description":"","baseType":"STRING","ordinal":6,"alias":"_5","aspects":{"isPrimaryKey":false}},"province":{"name":"province","description":"","baseType":"STRING","ordinal":7,"alias":"_6","aspects":{"isPrimaryKey":false}},"city":{"name":"city","description":"","baseType":"STRING","ordinal":8,"alias":"_7","aspects":{"isPrimaryKey":false}},"isFTPAsset":{"name":"isFTPAsset","description":"","baseType":"BOOLEAN","ordinal":9,"alias":"_8","aspects":{"isPrimaryKey":false}},"bsId":{"name":"bsId","description":"","baseType":"STRING","ordinal":10,"alias":"_9","aspects":{"isPrimaryKey":false}}}},"rows":[{</v>
      </c>
      <c r="Y4" s="2" t="s">
        <v>164</v>
      </c>
    </row>
    <row r="5" spans="1:25" x14ac:dyDescent="0.55000000000000004">
      <c r="A5" s="6" t="s">
        <v>69</v>
      </c>
      <c r="C5" s="8" t="s">
        <v>185</v>
      </c>
      <c r="D5" t="s">
        <v>115</v>
      </c>
      <c r="F5" s="1" t="s">
        <v>126</v>
      </c>
      <c r="G5" s="1" t="s">
        <v>128</v>
      </c>
      <c r="H5" s="1" t="s">
        <v>127</v>
      </c>
      <c r="I5" s="1"/>
      <c r="J5" s="4" t="str">
        <f t="shared" si="0"/>
        <v>"thingName": "TEST2509_003",</v>
      </c>
      <c r="K5" t="s">
        <v>164</v>
      </c>
      <c r="M5" s="1" t="s">
        <v>126</v>
      </c>
      <c r="N5" s="1" t="s">
        <v>128</v>
      </c>
      <c r="O5" s="1" t="s">
        <v>127</v>
      </c>
      <c r="P5" s="1"/>
      <c r="Q5" s="4" t="str">
        <f>L5&amp;M5&amp;$D5&amp;N5&amp;$C5&amp;O5</f>
        <v>"thingName": "TEST2509_003",</v>
      </c>
      <c r="R5" t="s">
        <v>164</v>
      </c>
      <c r="T5" s="1" t="s">
        <v>126</v>
      </c>
      <c r="U5" s="1" t="s">
        <v>128</v>
      </c>
      <c r="V5" s="1" t="s">
        <v>127</v>
      </c>
      <c r="W5" s="1"/>
      <c r="X5" s="4" t="str">
        <f>S5&amp;T5&amp;$D5&amp;U5&amp;$C5&amp;V5</f>
        <v>"thingName": "TEST2509_003",</v>
      </c>
      <c r="Y5" t="s">
        <v>164</v>
      </c>
    </row>
    <row r="6" spans="1:25" x14ac:dyDescent="0.55000000000000004">
      <c r="A6" s="6" t="s">
        <v>70</v>
      </c>
      <c r="C6" s="8" t="s">
        <v>186</v>
      </c>
      <c r="D6" t="s">
        <v>94</v>
      </c>
      <c r="F6" s="1" t="s">
        <v>126</v>
      </c>
      <c r="G6" s="1" t="s">
        <v>128</v>
      </c>
      <c r="H6" s="1" t="s">
        <v>127</v>
      </c>
      <c r="I6" s="1"/>
      <c r="J6" s="4" t="str">
        <f t="shared" si="0"/>
        <v>"assetName": "SMD013",</v>
      </c>
      <c r="K6" t="s">
        <v>164</v>
      </c>
      <c r="M6" s="1" t="s">
        <v>126</v>
      </c>
      <c r="N6" s="1" t="s">
        <v>128</v>
      </c>
      <c r="O6" s="1" t="s">
        <v>127</v>
      </c>
      <c r="P6" s="1"/>
      <c r="Q6" s="4" t="str">
        <f>L6&amp;M6&amp;$D6&amp;N6&amp;$C6&amp;O6</f>
        <v>"assetName": "SMD013",</v>
      </c>
      <c r="R6" t="s">
        <v>164</v>
      </c>
      <c r="T6" s="1" t="s">
        <v>126</v>
      </c>
      <c r="U6" s="1" t="s">
        <v>128</v>
      </c>
      <c r="V6" s="1" t="s">
        <v>127</v>
      </c>
      <c r="W6" s="1"/>
      <c r="X6" s="4" t="str">
        <f>S6&amp;T6&amp;$D6&amp;U6&amp;$C6&amp;V6</f>
        <v>"assetName": "SMD013",</v>
      </c>
      <c r="Y6" t="s">
        <v>164</v>
      </c>
    </row>
    <row r="7" spans="1:25" x14ac:dyDescent="0.55000000000000004">
      <c r="A7" t="s">
        <v>71</v>
      </c>
      <c r="C7" s="8" t="s">
        <v>157</v>
      </c>
      <c r="D7" t="s">
        <v>95</v>
      </c>
      <c r="F7" s="1" t="s">
        <v>126</v>
      </c>
      <c r="G7" s="1" t="s">
        <v>128</v>
      </c>
      <c r="H7" s="1" t="s">
        <v>127</v>
      </c>
      <c r="I7" s="1"/>
      <c r="J7" s="4" t="str">
        <f t="shared" si="0"/>
        <v>"description": "テスト後は削除",</v>
      </c>
      <c r="K7" t="s">
        <v>164</v>
      </c>
      <c r="M7" s="1" t="s">
        <v>126</v>
      </c>
      <c r="N7" s="1" t="s">
        <v>128</v>
      </c>
      <c r="O7" s="1" t="s">
        <v>127</v>
      </c>
      <c r="P7" s="1"/>
      <c r="Q7" s="4"/>
      <c r="R7" t="s">
        <v>164</v>
      </c>
      <c r="T7" s="1" t="s">
        <v>126</v>
      </c>
      <c r="U7" s="1" t="s">
        <v>128</v>
      </c>
      <c r="V7" s="1" t="s">
        <v>127</v>
      </c>
      <c r="W7" s="1"/>
      <c r="X7" s="4"/>
      <c r="Y7" t="s">
        <v>164</v>
      </c>
    </row>
    <row r="8" spans="1:25" x14ac:dyDescent="0.55000000000000004">
      <c r="A8" s="6" t="s">
        <v>72</v>
      </c>
      <c r="C8" s="8" t="s">
        <v>184</v>
      </c>
      <c r="D8" t="s">
        <v>112</v>
      </c>
      <c r="F8" s="1" t="s">
        <v>126</v>
      </c>
      <c r="G8" s="1" t="s">
        <v>128</v>
      </c>
      <c r="H8" s="1" t="s">
        <v>127</v>
      </c>
      <c r="I8" s="1"/>
      <c r="J8" s="4" t="str">
        <f t="shared" si="0"/>
        <v>"modelNumber": "Trinias.smart",</v>
      </c>
      <c r="K8" t="s">
        <v>164</v>
      </c>
      <c r="M8" s="1" t="s">
        <v>126</v>
      </c>
      <c r="N8" s="1" t="s">
        <v>128</v>
      </c>
      <c r="O8" s="1" t="s">
        <v>127</v>
      </c>
      <c r="P8" s="1"/>
      <c r="Q8" s="4" t="str">
        <f>L8&amp;M8&amp;$D8&amp;N8&amp;$C8&amp;O8</f>
        <v>"modelNumber": "Trinias.smart",</v>
      </c>
      <c r="R8" t="s">
        <v>164</v>
      </c>
      <c r="T8" s="1" t="s">
        <v>126</v>
      </c>
      <c r="U8" s="1" t="s">
        <v>128</v>
      </c>
      <c r="V8" s="1" t="s">
        <v>127</v>
      </c>
      <c r="W8" s="1"/>
      <c r="X8" s="4" t="str">
        <f>S8&amp;T8&amp;$D8&amp;U8&amp;$C8&amp;V8</f>
        <v>"modelNumber": "Trinias.smart",</v>
      </c>
      <c r="Y8" t="s">
        <v>164</v>
      </c>
    </row>
    <row r="9" spans="1:25" x14ac:dyDescent="0.55000000000000004">
      <c r="A9" s="6" t="s">
        <v>154</v>
      </c>
      <c r="C9" s="7" t="s">
        <v>197</v>
      </c>
      <c r="D9" t="s">
        <v>113</v>
      </c>
      <c r="F9" s="1" t="s">
        <v>126</v>
      </c>
      <c r="G9" s="1" t="s">
        <v>128</v>
      </c>
      <c r="H9" s="1" t="s">
        <v>127</v>
      </c>
      <c r="I9" s="1"/>
      <c r="J9" s="4" t="str">
        <f t="shared" si="0"/>
        <v>"thingTemplate": "SMZ.Trinias.smart.TT",</v>
      </c>
      <c r="K9" t="s">
        <v>164</v>
      </c>
      <c r="M9" s="1" t="s">
        <v>126</v>
      </c>
      <c r="N9" s="1" t="s">
        <v>128</v>
      </c>
      <c r="O9" s="1" t="s">
        <v>127</v>
      </c>
      <c r="P9" s="1"/>
      <c r="Q9" s="4"/>
      <c r="R9" t="s">
        <v>164</v>
      </c>
      <c r="T9" s="1" t="s">
        <v>126</v>
      </c>
      <c r="U9" s="1" t="s">
        <v>128</v>
      </c>
      <c r="V9" s="1" t="s">
        <v>127</v>
      </c>
      <c r="W9" s="1"/>
      <c r="X9" s="4"/>
      <c r="Y9" t="s">
        <v>164</v>
      </c>
    </row>
    <row r="10" spans="1:25" x14ac:dyDescent="0.55000000000000004">
      <c r="A10" s="6" t="s">
        <v>73</v>
      </c>
      <c r="C10" s="8" t="s">
        <v>188</v>
      </c>
      <c r="D10" t="s">
        <v>118</v>
      </c>
      <c r="F10" s="1" t="s">
        <v>126</v>
      </c>
      <c r="G10" s="1" t="s">
        <v>128</v>
      </c>
      <c r="H10" s="1" t="s">
        <v>127</v>
      </c>
      <c r="I10" s="1"/>
      <c r="J10" s="4" t="str">
        <f t="shared" si="0"/>
        <v>"serialNumber": "SN837768000013",</v>
      </c>
      <c r="K10" t="s">
        <v>164</v>
      </c>
      <c r="M10" s="1" t="s">
        <v>126</v>
      </c>
      <c r="N10" s="1" t="s">
        <v>128</v>
      </c>
      <c r="O10" s="1" t="s">
        <v>127</v>
      </c>
      <c r="P10" s="1"/>
      <c r="Q10" s="4" t="str">
        <f>L10&amp;M10&amp;$D10&amp;N10&amp;$C10&amp;O10</f>
        <v>"serialNumber": "SN837768000013",</v>
      </c>
      <c r="R10" t="s">
        <v>164</v>
      </c>
      <c r="T10" s="1" t="s">
        <v>126</v>
      </c>
      <c r="U10" s="1" t="s">
        <v>128</v>
      </c>
      <c r="V10" s="1" t="s">
        <v>127</v>
      </c>
      <c r="W10" s="1"/>
      <c r="X10" s="4" t="str">
        <f>S10&amp;T10&amp;$D10&amp;U10&amp;$C10&amp;V10</f>
        <v>"serialNumber": "SN837768000013",</v>
      </c>
      <c r="Y10" t="s">
        <v>164</v>
      </c>
    </row>
    <row r="11" spans="1:25" x14ac:dyDescent="0.55000000000000004">
      <c r="A11" s="6" t="s">
        <v>74</v>
      </c>
      <c r="C11" s="8" t="s">
        <v>196</v>
      </c>
      <c r="D11" t="s">
        <v>111</v>
      </c>
      <c r="F11" s="1" t="s">
        <v>126</v>
      </c>
      <c r="G11" s="1" t="s">
        <v>128</v>
      </c>
      <c r="H11" s="1" t="s">
        <v>127</v>
      </c>
      <c r="I11" s="1"/>
      <c r="J11" s="4" t="str">
        <f t="shared" si="0"/>
        <v>"customer": "SMD013 Hospital",</v>
      </c>
      <c r="K11" t="s">
        <v>164</v>
      </c>
      <c r="M11" s="1" t="s">
        <v>126</v>
      </c>
      <c r="N11" s="1" t="s">
        <v>128</v>
      </c>
      <c r="O11" s="1" t="s">
        <v>127</v>
      </c>
      <c r="P11" s="1"/>
      <c r="Q11" s="4"/>
      <c r="R11" t="s">
        <v>164</v>
      </c>
      <c r="T11" s="1" t="s">
        <v>126</v>
      </c>
      <c r="U11" s="1" t="s">
        <v>128</v>
      </c>
      <c r="V11" s="1" t="s">
        <v>127</v>
      </c>
      <c r="W11" s="1"/>
      <c r="X11" s="4"/>
      <c r="Y11" t="s">
        <v>164</v>
      </c>
    </row>
    <row r="12" spans="1:25" x14ac:dyDescent="0.55000000000000004">
      <c r="A12" s="6" t="s">
        <v>75</v>
      </c>
      <c r="C12" s="8" t="s">
        <v>187</v>
      </c>
      <c r="D12" t="s">
        <v>114</v>
      </c>
      <c r="F12" s="1" t="s">
        <v>126</v>
      </c>
      <c r="G12" s="1" t="s">
        <v>128</v>
      </c>
      <c r="H12" s="1" t="s">
        <v>127</v>
      </c>
      <c r="I12" s="1"/>
      <c r="J12" s="4" t="str">
        <f t="shared" si="0"/>
        <v>"room": "X RAY2",</v>
      </c>
      <c r="K12" t="s">
        <v>164</v>
      </c>
      <c r="M12" s="1" t="s">
        <v>126</v>
      </c>
      <c r="N12" s="1" t="s">
        <v>128</v>
      </c>
      <c r="O12" s="1" t="s">
        <v>127</v>
      </c>
      <c r="P12" s="1"/>
      <c r="Q12" s="4"/>
      <c r="R12" t="s">
        <v>164</v>
      </c>
      <c r="T12" s="1" t="s">
        <v>126</v>
      </c>
      <c r="U12" s="1" t="s">
        <v>128</v>
      </c>
      <c r="V12" s="1" t="s">
        <v>127</v>
      </c>
      <c r="W12" s="1"/>
      <c r="X12" s="4"/>
      <c r="Y12" t="s">
        <v>164</v>
      </c>
    </row>
    <row r="13" spans="1:25" x14ac:dyDescent="0.55000000000000004">
      <c r="A13" t="s">
        <v>76</v>
      </c>
      <c r="C13" s="8"/>
      <c r="D13" t="s">
        <v>116</v>
      </c>
      <c r="F13" s="1" t="s">
        <v>126</v>
      </c>
      <c r="G13" s="1" t="s">
        <v>128</v>
      </c>
      <c r="H13" s="1" t="s">
        <v>127</v>
      </c>
      <c r="I13" s="1"/>
      <c r="J13" s="4" t="str">
        <f t="shared" si="0"/>
        <v>"region": "",</v>
      </c>
      <c r="K13" t="s">
        <v>164</v>
      </c>
      <c r="M13" s="1" t="s">
        <v>126</v>
      </c>
      <c r="N13" s="1" t="s">
        <v>128</v>
      </c>
      <c r="O13" s="1" t="s">
        <v>127</v>
      </c>
      <c r="P13" s="1"/>
      <c r="Q13" s="4" t="str">
        <f>L13&amp;M13&amp;$D13&amp;N13&amp;$C13&amp;O13</f>
        <v>"region": "",</v>
      </c>
      <c r="R13" t="s">
        <v>164</v>
      </c>
      <c r="T13" s="1" t="s">
        <v>126</v>
      </c>
      <c r="U13" s="1" t="s">
        <v>128</v>
      </c>
      <c r="V13" s="1" t="s">
        <v>127</v>
      </c>
      <c r="W13" s="1"/>
      <c r="X13" s="4" t="str">
        <f>S13&amp;T13&amp;$D13&amp;U13&amp;$C13&amp;V13</f>
        <v>"region": "",</v>
      </c>
      <c r="Y13" t="s">
        <v>164</v>
      </c>
    </row>
    <row r="14" spans="1:25" x14ac:dyDescent="0.55000000000000004">
      <c r="A14" t="s">
        <v>77</v>
      </c>
      <c r="C14" s="8"/>
      <c r="D14" t="s">
        <v>96</v>
      </c>
      <c r="F14" s="1" t="s">
        <v>126</v>
      </c>
      <c r="G14" s="1" t="s">
        <v>128</v>
      </c>
      <c r="H14" s="1" t="s">
        <v>127</v>
      </c>
      <c r="I14" s="1"/>
      <c r="J14" s="4" t="str">
        <f t="shared" si="0"/>
        <v>"country": "",</v>
      </c>
      <c r="K14" t="s">
        <v>164</v>
      </c>
      <c r="M14" s="1" t="s">
        <v>126</v>
      </c>
      <c r="N14" s="1" t="s">
        <v>128</v>
      </c>
      <c r="O14" s="1" t="s">
        <v>127</v>
      </c>
      <c r="P14" s="1"/>
      <c r="Q14" s="4" t="str">
        <f>L14&amp;M14&amp;$D14&amp;N14&amp;$C14&amp;O14</f>
        <v>"country": "",</v>
      </c>
      <c r="R14" t="s">
        <v>164</v>
      </c>
      <c r="T14" s="1" t="s">
        <v>126</v>
      </c>
      <c r="U14" s="1" t="s">
        <v>128</v>
      </c>
      <c r="V14" s="1" t="s">
        <v>127</v>
      </c>
      <c r="W14" s="1"/>
      <c r="X14" s="4" t="str">
        <f>S14&amp;T14&amp;$D14&amp;U14&amp;$C14&amp;V14</f>
        <v>"country": "",</v>
      </c>
      <c r="Y14" t="s">
        <v>164</v>
      </c>
    </row>
    <row r="15" spans="1:25" x14ac:dyDescent="0.55000000000000004">
      <c r="A15" t="s">
        <v>78</v>
      </c>
      <c r="C15" s="8"/>
      <c r="D15" t="s">
        <v>99</v>
      </c>
      <c r="F15" s="1" t="s">
        <v>126</v>
      </c>
      <c r="G15" s="1" t="s">
        <v>128</v>
      </c>
      <c r="H15" s="1" t="s">
        <v>127</v>
      </c>
      <c r="I15" s="1"/>
      <c r="J15" s="4" t="str">
        <f t="shared" si="0"/>
        <v>"postalCode": "",</v>
      </c>
      <c r="K15" t="s">
        <v>164</v>
      </c>
      <c r="M15" s="1" t="s">
        <v>126</v>
      </c>
      <c r="N15" s="1" t="s">
        <v>128</v>
      </c>
      <c r="O15" s="1" t="s">
        <v>127</v>
      </c>
      <c r="P15" s="1"/>
      <c r="Q15" s="4"/>
      <c r="R15" t="s">
        <v>164</v>
      </c>
      <c r="T15" s="1" t="s">
        <v>126</v>
      </c>
      <c r="U15" s="1" t="s">
        <v>128</v>
      </c>
      <c r="V15" s="1" t="s">
        <v>127</v>
      </c>
      <c r="W15" s="1"/>
      <c r="X15" s="4"/>
      <c r="Y15" t="s">
        <v>164</v>
      </c>
    </row>
    <row r="16" spans="1:25" x14ac:dyDescent="0.55000000000000004">
      <c r="A16" t="s">
        <v>79</v>
      </c>
      <c r="C16" s="8"/>
      <c r="D16" t="s">
        <v>97</v>
      </c>
      <c r="F16" s="1" t="s">
        <v>126</v>
      </c>
      <c r="G16" s="1" t="s">
        <v>128</v>
      </c>
      <c r="H16" s="1" t="s">
        <v>127</v>
      </c>
      <c r="I16" s="1"/>
      <c r="J16" s="4" t="str">
        <f t="shared" si="0"/>
        <v>"state": "",</v>
      </c>
      <c r="K16" t="s">
        <v>164</v>
      </c>
      <c r="M16" s="1" t="s">
        <v>126</v>
      </c>
      <c r="N16" s="1" t="s">
        <v>128</v>
      </c>
      <c r="O16" s="1" t="s">
        <v>127</v>
      </c>
      <c r="P16" s="1"/>
      <c r="Q16" s="4"/>
      <c r="R16" t="s">
        <v>164</v>
      </c>
      <c r="T16" s="1" t="s">
        <v>126</v>
      </c>
      <c r="U16" s="1" t="s">
        <v>128</v>
      </c>
      <c r="V16" s="1" t="s">
        <v>127</v>
      </c>
      <c r="W16" s="1"/>
      <c r="X16" s="4"/>
      <c r="Y16" t="s">
        <v>164</v>
      </c>
    </row>
    <row r="17" spans="1:25" x14ac:dyDescent="0.55000000000000004">
      <c r="A17" t="s">
        <v>80</v>
      </c>
      <c r="C17" s="8"/>
      <c r="D17" t="s">
        <v>98</v>
      </c>
      <c r="F17" s="1" t="s">
        <v>126</v>
      </c>
      <c r="G17" s="1" t="s">
        <v>128</v>
      </c>
      <c r="H17" s="1" t="s">
        <v>127</v>
      </c>
      <c r="I17" s="1"/>
      <c r="J17" s="4" t="str">
        <f t="shared" si="0"/>
        <v>"province": "",</v>
      </c>
      <c r="K17" t="s">
        <v>164</v>
      </c>
      <c r="M17" s="1" t="s">
        <v>126</v>
      </c>
      <c r="N17" s="1" t="s">
        <v>128</v>
      </c>
      <c r="O17" s="1" t="s">
        <v>127</v>
      </c>
      <c r="P17" s="1"/>
      <c r="Q17" s="4" t="str">
        <f>L17&amp;M17&amp;$D17&amp;N17&amp;$C17&amp;O17</f>
        <v>"province": "",</v>
      </c>
      <c r="R17" t="s">
        <v>164</v>
      </c>
      <c r="T17" s="1" t="s">
        <v>126</v>
      </c>
      <c r="U17" s="1" t="s">
        <v>128</v>
      </c>
      <c r="V17" s="1" t="s">
        <v>127</v>
      </c>
      <c r="W17" s="1"/>
      <c r="X17" s="4" t="str">
        <f>S17&amp;T17&amp;$D17&amp;U17&amp;$C17&amp;V17</f>
        <v>"province": "",</v>
      </c>
      <c r="Y17" t="s">
        <v>164</v>
      </c>
    </row>
    <row r="18" spans="1:25" x14ac:dyDescent="0.55000000000000004">
      <c r="A18" t="s">
        <v>81</v>
      </c>
      <c r="C18" s="8"/>
      <c r="D18" t="s">
        <v>117</v>
      </c>
      <c r="F18" s="1" t="s">
        <v>126</v>
      </c>
      <c r="G18" s="1" t="s">
        <v>128</v>
      </c>
      <c r="H18" s="1" t="s">
        <v>127</v>
      </c>
      <c r="I18" s="1"/>
      <c r="J18" s="4" t="str">
        <f t="shared" si="0"/>
        <v>"city": "",</v>
      </c>
      <c r="K18" t="s">
        <v>164</v>
      </c>
      <c r="M18" s="1" t="s">
        <v>126</v>
      </c>
      <c r="N18" s="1" t="s">
        <v>128</v>
      </c>
      <c r="O18" s="1" t="s">
        <v>127</v>
      </c>
      <c r="P18" s="1"/>
      <c r="Q18" s="4"/>
      <c r="R18" t="s">
        <v>164</v>
      </c>
      <c r="T18" s="1" t="s">
        <v>126</v>
      </c>
      <c r="U18" s="1" t="s">
        <v>128</v>
      </c>
      <c r="V18" s="1" t="s">
        <v>127</v>
      </c>
      <c r="W18" s="1"/>
      <c r="X18" s="4" t="str">
        <f>S18&amp;T18&amp;$D18&amp;U18&amp;$C18&amp;V18</f>
        <v>"city": "",</v>
      </c>
      <c r="Y18" t="s">
        <v>164</v>
      </c>
    </row>
    <row r="19" spans="1:25" x14ac:dyDescent="0.55000000000000004">
      <c r="A19" t="s">
        <v>82</v>
      </c>
      <c r="C19" s="8"/>
      <c r="D19" t="s">
        <v>100</v>
      </c>
      <c r="F19" s="1" t="s">
        <v>126</v>
      </c>
      <c r="G19" s="1" t="s">
        <v>128</v>
      </c>
      <c r="H19" s="1" t="s">
        <v>127</v>
      </c>
      <c r="I19" s="1"/>
      <c r="J19" s="4" t="str">
        <f t="shared" si="0"/>
        <v>"addressLine1": "",</v>
      </c>
      <c r="K19" t="s">
        <v>164</v>
      </c>
      <c r="M19" s="1" t="s">
        <v>126</v>
      </c>
      <c r="N19" s="1" t="s">
        <v>128</v>
      </c>
      <c r="O19" s="1" t="s">
        <v>127</v>
      </c>
      <c r="P19" s="1"/>
      <c r="Q19" s="4"/>
      <c r="R19" t="s">
        <v>164</v>
      </c>
      <c r="T19" s="1" t="s">
        <v>126</v>
      </c>
      <c r="U19" s="1" t="s">
        <v>128</v>
      </c>
      <c r="V19" s="1" t="s">
        <v>127</v>
      </c>
      <c r="W19" s="1"/>
      <c r="X19" s="4"/>
      <c r="Y19" t="s">
        <v>164</v>
      </c>
    </row>
    <row r="20" spans="1:25" x14ac:dyDescent="0.55000000000000004">
      <c r="A20" t="s">
        <v>83</v>
      </c>
      <c r="C20" s="8"/>
      <c r="D20" t="s">
        <v>101</v>
      </c>
      <c r="F20" s="1" t="s">
        <v>126</v>
      </c>
      <c r="G20" s="1" t="s">
        <v>128</v>
      </c>
      <c r="H20" s="1" t="s">
        <v>127</v>
      </c>
      <c r="I20" s="1"/>
      <c r="J20" s="4" t="str">
        <f t="shared" si="0"/>
        <v>"addressLine2": "",</v>
      </c>
      <c r="K20" t="s">
        <v>164</v>
      </c>
      <c r="M20" s="1" t="s">
        <v>126</v>
      </c>
      <c r="N20" s="1" t="s">
        <v>128</v>
      </c>
      <c r="O20" s="1" t="s">
        <v>127</v>
      </c>
      <c r="P20" s="1"/>
      <c r="Q20" s="4"/>
      <c r="R20" t="s">
        <v>164</v>
      </c>
      <c r="T20" s="1" t="s">
        <v>126</v>
      </c>
      <c r="U20" s="1" t="s">
        <v>128</v>
      </c>
      <c r="V20" s="1" t="s">
        <v>127</v>
      </c>
      <c r="W20" s="1"/>
      <c r="X20" s="4"/>
      <c r="Y20" t="s">
        <v>164</v>
      </c>
    </row>
    <row r="21" spans="1:25" x14ac:dyDescent="0.55000000000000004">
      <c r="A21" t="s">
        <v>84</v>
      </c>
      <c r="C21" s="8">
        <v>0</v>
      </c>
      <c r="D21" t="s">
        <v>102</v>
      </c>
      <c r="F21" s="1" t="s">
        <v>126</v>
      </c>
      <c r="G21" s="1" t="s">
        <v>158</v>
      </c>
      <c r="H21" s="1" t="s">
        <v>159</v>
      </c>
      <c r="I21" s="1"/>
      <c r="J21" s="4" t="str">
        <f t="shared" si="0"/>
        <v>"latitude": 0,</v>
      </c>
      <c r="K21" t="s">
        <v>164</v>
      </c>
      <c r="M21" s="1" t="s">
        <v>126</v>
      </c>
      <c r="N21" s="1" t="s">
        <v>128</v>
      </c>
      <c r="O21" s="1" t="s">
        <v>127</v>
      </c>
      <c r="P21" s="1"/>
      <c r="Q21" s="4"/>
      <c r="R21" t="s">
        <v>164</v>
      </c>
      <c r="T21" s="1" t="s">
        <v>126</v>
      </c>
      <c r="U21" s="1" t="s">
        <v>128</v>
      </c>
      <c r="V21" s="1" t="s">
        <v>127</v>
      </c>
      <c r="W21" s="1"/>
      <c r="X21" s="4"/>
      <c r="Y21" t="s">
        <v>164</v>
      </c>
    </row>
    <row r="22" spans="1:25" x14ac:dyDescent="0.55000000000000004">
      <c r="A22" t="s">
        <v>85</v>
      </c>
      <c r="C22" s="8">
        <v>0</v>
      </c>
      <c r="D22" t="s">
        <v>103</v>
      </c>
      <c r="F22" s="1" t="s">
        <v>126</v>
      </c>
      <c r="G22" s="1" t="s">
        <v>158</v>
      </c>
      <c r="H22" s="1" t="s">
        <v>159</v>
      </c>
      <c r="I22" s="1"/>
      <c r="J22" s="4" t="str">
        <f t="shared" si="0"/>
        <v>"longitude": 0,</v>
      </c>
      <c r="K22" t="s">
        <v>164</v>
      </c>
      <c r="M22" s="1" t="s">
        <v>126</v>
      </c>
      <c r="N22" s="1" t="s">
        <v>128</v>
      </c>
      <c r="O22" s="1" t="s">
        <v>127</v>
      </c>
      <c r="P22" s="1"/>
      <c r="Q22" s="4"/>
      <c r="R22" t="s">
        <v>164</v>
      </c>
      <c r="T22" s="1" t="s">
        <v>126</v>
      </c>
      <c r="U22" s="1" t="s">
        <v>128</v>
      </c>
      <c r="V22" s="1" t="s">
        <v>127</v>
      </c>
      <c r="W22" s="1"/>
      <c r="X22" s="4"/>
      <c r="Y22" t="s">
        <v>164</v>
      </c>
    </row>
    <row r="23" spans="1:25" x14ac:dyDescent="0.55000000000000004">
      <c r="A23" t="s">
        <v>86</v>
      </c>
      <c r="C23" s="8"/>
      <c r="D23" t="s">
        <v>104</v>
      </c>
      <c r="F23" s="1" t="s">
        <v>126</v>
      </c>
      <c r="G23" s="1" t="s">
        <v>128</v>
      </c>
      <c r="H23" s="1" t="s">
        <v>127</v>
      </c>
      <c r="I23" s="1"/>
      <c r="J23" s="4" t="str">
        <f t="shared" si="0"/>
        <v>"remarks": "",</v>
      </c>
      <c r="K23" t="s">
        <v>164</v>
      </c>
      <c r="M23" s="1" t="s">
        <v>126</v>
      </c>
      <c r="N23" s="1" t="s">
        <v>128</v>
      </c>
      <c r="O23" s="1" t="s">
        <v>127</v>
      </c>
      <c r="P23" s="1"/>
      <c r="Q23" s="4"/>
      <c r="R23" t="s">
        <v>164</v>
      </c>
      <c r="T23" s="1" t="s">
        <v>126</v>
      </c>
      <c r="U23" s="1" t="s">
        <v>128</v>
      </c>
      <c r="V23" s="1" t="s">
        <v>127</v>
      </c>
      <c r="W23" s="1"/>
      <c r="X23" s="4"/>
      <c r="Y23" t="s">
        <v>164</v>
      </c>
    </row>
    <row r="24" spans="1:25" x14ac:dyDescent="0.55000000000000004">
      <c r="A24" t="s">
        <v>87</v>
      </c>
      <c r="C24" s="8" t="b">
        <v>0</v>
      </c>
      <c r="D24" t="s">
        <v>105</v>
      </c>
      <c r="F24" s="1" t="s">
        <v>126</v>
      </c>
      <c r="G24" s="1" t="s">
        <v>128</v>
      </c>
      <c r="H24" s="1" t="s">
        <v>127</v>
      </c>
      <c r="I24" s="1"/>
      <c r="J24" s="4" t="str">
        <f t="shared" si="0"/>
        <v>"isFTPAsset": "FALSE",</v>
      </c>
      <c r="K24" t="s">
        <v>164</v>
      </c>
      <c r="M24" s="1" t="s">
        <v>126</v>
      </c>
      <c r="N24" s="1" t="s">
        <v>128</v>
      </c>
      <c r="O24" s="1" t="s">
        <v>127</v>
      </c>
      <c r="P24" s="1"/>
      <c r="Q24" s="4" t="str">
        <f>L24&amp;M24&amp;$D24&amp;N24&amp;$C24&amp;O24</f>
        <v>"isFTPAsset": "FALSE",</v>
      </c>
      <c r="R24" t="s">
        <v>164</v>
      </c>
      <c r="T24" s="1" t="s">
        <v>126</v>
      </c>
      <c r="U24" s="1" t="s">
        <v>128</v>
      </c>
      <c r="V24" s="1" t="s">
        <v>127</v>
      </c>
      <c r="W24" s="1"/>
      <c r="X24" s="4" t="str">
        <f>S24&amp;T24&amp;$D24&amp;U24&amp;$C24&amp;V24</f>
        <v>"isFTPAsset": "FALSE",</v>
      </c>
      <c r="Y24" t="s">
        <v>164</v>
      </c>
    </row>
    <row r="25" spans="1:25" x14ac:dyDescent="0.55000000000000004">
      <c r="A25" t="s">
        <v>88</v>
      </c>
      <c r="C25" s="8"/>
      <c r="D25" t="s">
        <v>106</v>
      </c>
      <c r="F25" s="1" t="s">
        <v>126</v>
      </c>
      <c r="G25" s="1" t="s">
        <v>128</v>
      </c>
      <c r="H25" s="1" t="s">
        <v>127</v>
      </c>
      <c r="I25" s="1"/>
      <c r="J25" s="4" t="str">
        <f t="shared" si="0"/>
        <v>"bsId": "",</v>
      </c>
      <c r="K25" t="s">
        <v>164</v>
      </c>
      <c r="M25" s="1" t="s">
        <v>126</v>
      </c>
      <c r="N25" s="1" t="s">
        <v>128</v>
      </c>
      <c r="O25" s="1" t="s">
        <v>126</v>
      </c>
      <c r="P25" s="1"/>
      <c r="Q25" s="4" t="str">
        <f>L25&amp;M25&amp;$D25&amp;N25&amp;$C25&amp;O25</f>
        <v>"bsId": ""</v>
      </c>
      <c r="R25" t="s">
        <v>164</v>
      </c>
      <c r="T25" s="1" t="s">
        <v>126</v>
      </c>
      <c r="U25" s="1" t="s">
        <v>128</v>
      </c>
      <c r="V25" s="1" t="s">
        <v>126</v>
      </c>
      <c r="W25" s="1"/>
      <c r="X25" s="4" t="str">
        <f>S25&amp;T25&amp;$D25&amp;U25&amp;$C25&amp;V25</f>
        <v>"bsId": ""</v>
      </c>
      <c r="Y25" t="s">
        <v>164</v>
      </c>
    </row>
    <row r="26" spans="1:25" x14ac:dyDescent="0.55000000000000004">
      <c r="A26" t="s">
        <v>89</v>
      </c>
      <c r="C26" s="8"/>
      <c r="D26" t="s">
        <v>130</v>
      </c>
      <c r="F26" s="1" t="s">
        <v>126</v>
      </c>
      <c r="G26" s="1" t="s">
        <v>160</v>
      </c>
      <c r="H26" s="1"/>
      <c r="I26" s="1" t="s">
        <v>132</v>
      </c>
      <c r="J26" s="4" t="str">
        <f t="shared" si="0"/>
        <v>"contactList":{"dataShape":{"fieldDefinitions":{"userName":{"name":"userName","description":"","baseType":"STRING","ordinal":1,"alias":"_0","aspects":{"isPrimaryKey":false}},"emailAddress":{"name":"emailAddress","description":"","baseType":"STRING","ordinal":2,"alias":"_1","aspects":{"isPrimaryKey":false}},"category":{"name":"category","description":"","baseType":"STRING","ordinal":3,"alias":"_2","aspects":{"isPrimaryKey":false}},"isExist":{"name":"isExist","description":"","baseType":"BOOLEAN","ordinal":4,"alias":"_3","aspects":{"isPrimaryKey":false}}}},"rows":[</v>
      </c>
      <c r="K26" t="s">
        <v>164</v>
      </c>
      <c r="M26" s="1"/>
      <c r="N26" s="1"/>
      <c r="O26" s="1"/>
      <c r="P26" s="1"/>
      <c r="Q26" s="4"/>
      <c r="R26" t="s">
        <v>164</v>
      </c>
      <c r="T26" s="1"/>
      <c r="U26" s="1"/>
      <c r="V26" s="1"/>
      <c r="W26" s="1"/>
      <c r="X26" s="4"/>
      <c r="Y26" t="s">
        <v>164</v>
      </c>
    </row>
    <row r="27" spans="1:25" x14ac:dyDescent="0.55000000000000004">
      <c r="B27" t="s">
        <v>90</v>
      </c>
      <c r="C27" s="8" t="s">
        <v>178</v>
      </c>
      <c r="D27" t="s">
        <v>107</v>
      </c>
      <c r="F27" s="1" t="s">
        <v>161</v>
      </c>
      <c r="G27" s="1" t="s">
        <v>128</v>
      </c>
      <c r="H27" s="1" t="s">
        <v>127</v>
      </c>
      <c r="I27" s="1"/>
      <c r="J27" s="4" t="str">
        <f t="shared" si="0"/>
        <v>{"userName": "SMD_isobe",</v>
      </c>
      <c r="K27" t="s">
        <v>164</v>
      </c>
      <c r="M27" s="1"/>
      <c r="N27" s="1"/>
      <c r="O27" s="1"/>
      <c r="P27" s="1"/>
      <c r="Q27" s="4"/>
      <c r="R27" t="s">
        <v>164</v>
      </c>
      <c r="T27" s="1"/>
      <c r="U27" s="1"/>
      <c r="V27" s="1"/>
      <c r="W27" s="1"/>
      <c r="X27" s="4"/>
      <c r="Y27" t="s">
        <v>164</v>
      </c>
    </row>
    <row r="28" spans="1:25" x14ac:dyDescent="0.55000000000000004">
      <c r="B28" t="s">
        <v>91</v>
      </c>
      <c r="C28" s="9" t="s">
        <v>180</v>
      </c>
      <c r="D28" t="s">
        <v>108</v>
      </c>
      <c r="F28" s="1" t="s">
        <v>126</v>
      </c>
      <c r="G28" s="1" t="s">
        <v>128</v>
      </c>
      <c r="H28" s="1" t="s">
        <v>127</v>
      </c>
      <c r="I28" s="1"/>
      <c r="J28" s="4" t="str">
        <f t="shared" si="0"/>
        <v>"emailAddress": "s-isobe+abc@shimadzu.co.jp",</v>
      </c>
      <c r="K28" t="s">
        <v>164</v>
      </c>
      <c r="M28" s="1"/>
      <c r="N28" s="1"/>
      <c r="O28" s="1"/>
      <c r="P28" s="1"/>
      <c r="Q28" s="4"/>
      <c r="R28" t="s">
        <v>164</v>
      </c>
      <c r="T28" s="1"/>
      <c r="U28" s="1"/>
      <c r="V28" s="1"/>
      <c r="W28" s="1"/>
      <c r="X28" s="4"/>
      <c r="Y28" t="s">
        <v>164</v>
      </c>
    </row>
    <row r="29" spans="1:25" x14ac:dyDescent="0.55000000000000004">
      <c r="B29" t="s">
        <v>92</v>
      </c>
      <c r="C29" s="8" t="s">
        <v>182</v>
      </c>
      <c r="D29" t="s">
        <v>109</v>
      </c>
      <c r="F29" s="1" t="s">
        <v>126</v>
      </c>
      <c r="G29" s="1" t="s">
        <v>128</v>
      </c>
      <c r="H29" s="1" t="s">
        <v>127</v>
      </c>
      <c r="I29" s="1"/>
      <c r="J29" s="4" t="str">
        <f t="shared" si="0"/>
        <v>"category": "Distributor",</v>
      </c>
      <c r="K29" t="s">
        <v>164</v>
      </c>
      <c r="M29" s="1"/>
      <c r="N29" s="1"/>
      <c r="O29" s="1"/>
      <c r="P29" s="1"/>
      <c r="Q29" s="4"/>
      <c r="R29" t="s">
        <v>164</v>
      </c>
      <c r="T29" s="1"/>
      <c r="U29" s="1"/>
      <c r="V29" s="1"/>
      <c r="W29" s="1"/>
      <c r="X29" s="4"/>
      <c r="Y29" t="s">
        <v>164</v>
      </c>
    </row>
    <row r="30" spans="1:25" x14ac:dyDescent="0.55000000000000004">
      <c r="B30" t="s">
        <v>93</v>
      </c>
      <c r="C30" s="8" t="b">
        <v>0</v>
      </c>
      <c r="D30" t="s">
        <v>110</v>
      </c>
      <c r="F30" s="1" t="s">
        <v>126</v>
      </c>
      <c r="G30" s="1" t="s">
        <v>128</v>
      </c>
      <c r="H30" s="1" t="s">
        <v>162</v>
      </c>
      <c r="I30" s="1"/>
      <c r="J30" s="4" t="str">
        <f t="shared" si="0"/>
        <v>"_isSelected": "FALSE"}</v>
      </c>
      <c r="K30" t="s">
        <v>164</v>
      </c>
      <c r="M30" s="1"/>
      <c r="N30" s="1"/>
      <c r="O30" s="1"/>
      <c r="P30" s="1"/>
      <c r="Q30" s="4"/>
      <c r="R30" t="s">
        <v>164</v>
      </c>
      <c r="T30" s="1"/>
      <c r="U30" s="1"/>
      <c r="V30" s="1"/>
      <c r="W30" s="1"/>
      <c r="X30" s="4"/>
      <c r="Y30" t="s">
        <v>164</v>
      </c>
    </row>
    <row r="31" spans="1:25" x14ac:dyDescent="0.55000000000000004">
      <c r="B31" s="2" t="s">
        <v>165</v>
      </c>
      <c r="C31" s="8"/>
      <c r="E31" t="s">
        <v>163</v>
      </c>
      <c r="F31" s="1"/>
      <c r="G31" s="1"/>
      <c r="H31" s="1"/>
      <c r="I31" s="1"/>
      <c r="J31" s="4" t="str">
        <f t="shared" si="0"/>
        <v>]}</v>
      </c>
      <c r="K31" t="s">
        <v>164</v>
      </c>
      <c r="M31" s="1"/>
      <c r="N31" s="1"/>
      <c r="O31" s="1"/>
      <c r="P31" s="1"/>
      <c r="Q31" s="4"/>
      <c r="R31" t="s">
        <v>164</v>
      </c>
      <c r="T31" s="1"/>
      <c r="U31" s="1"/>
      <c r="V31" s="1"/>
      <c r="W31" s="1"/>
      <c r="X31" s="4"/>
      <c r="Y31" t="s">
        <v>164</v>
      </c>
    </row>
    <row r="32" spans="1:25" x14ac:dyDescent="0.55000000000000004">
      <c r="A32" t="s">
        <v>122</v>
      </c>
      <c r="C32" s="8"/>
      <c r="J32" s="4" t="str">
        <f t="shared" si="0"/>
        <v/>
      </c>
      <c r="K32" t="s">
        <v>164</v>
      </c>
      <c r="Q32" s="4"/>
      <c r="R32" t="s">
        <v>164</v>
      </c>
      <c r="X32" s="4"/>
      <c r="Y32" t="s">
        <v>164</v>
      </c>
    </row>
    <row r="33" spans="3:25" s="2" customFormat="1" x14ac:dyDescent="0.55000000000000004">
      <c r="C33" s="7"/>
      <c r="E33" s="2" t="s">
        <v>131</v>
      </c>
      <c r="J33" s="5" t="str">
        <f t="shared" si="0"/>
        <v>}</v>
      </c>
      <c r="K33" s="2" t="s">
        <v>164</v>
      </c>
      <c r="L33" s="2" t="s">
        <v>134</v>
      </c>
      <c r="Q33" s="5" t="str">
        <f>L33&amp;M33&amp;$D33&amp;N33&amp;$C33&amp;O33</f>
        <v>}]},"pageSize":50,"pageNumber":1,"queryFilter":{"sorts":[]}}</v>
      </c>
      <c r="R33" s="2" t="s">
        <v>164</v>
      </c>
      <c r="S33" s="2" t="s">
        <v>135</v>
      </c>
      <c r="X33" s="5" t="str">
        <f>S33&amp;T33&amp;$D33&amp;U33&amp;$C33&amp;V33</f>
        <v>}]}}</v>
      </c>
      <c r="Y33" s="2" t="s">
        <v>164</v>
      </c>
    </row>
    <row r="34" spans="3:25" x14ac:dyDescent="0.55000000000000004">
      <c r="C34" s="8"/>
    </row>
    <row r="35" spans="3:25" x14ac:dyDescent="0.55000000000000004">
      <c r="C35" s="8"/>
    </row>
    <row r="36" spans="3:25" x14ac:dyDescent="0.55000000000000004">
      <c r="C36" s="8"/>
    </row>
    <row r="37" spans="3:25" x14ac:dyDescent="0.55000000000000004">
      <c r="C37" s="8"/>
    </row>
    <row r="38" spans="3:25" x14ac:dyDescent="0.55000000000000004">
      <c r="C38" s="8"/>
    </row>
    <row r="39" spans="3:25" x14ac:dyDescent="0.55000000000000004">
      <c r="C39" s="8"/>
    </row>
    <row r="40" spans="3:25" x14ac:dyDescent="0.55000000000000004">
      <c r="C40" s="8"/>
    </row>
    <row r="41" spans="3:25" x14ac:dyDescent="0.55000000000000004">
      <c r="C41" s="8"/>
    </row>
    <row r="42" spans="3:25" x14ac:dyDescent="0.55000000000000004">
      <c r="C42" s="8"/>
    </row>
    <row r="43" spans="3:25" x14ac:dyDescent="0.55000000000000004">
      <c r="C43" s="8"/>
    </row>
    <row r="44" spans="3:25" x14ac:dyDescent="0.55000000000000004">
      <c r="C44" s="8"/>
    </row>
    <row r="45" spans="3:25" x14ac:dyDescent="0.55000000000000004">
      <c r="C45" s="8"/>
    </row>
    <row r="46" spans="3:25" x14ac:dyDescent="0.55000000000000004">
      <c r="C46" s="8"/>
    </row>
    <row r="47" spans="3:25" x14ac:dyDescent="0.55000000000000004">
      <c r="C47" s="8"/>
    </row>
    <row r="48" spans="3:25" x14ac:dyDescent="0.55000000000000004">
      <c r="C48" s="8"/>
    </row>
    <row r="49" spans="3:3" x14ac:dyDescent="0.55000000000000004">
      <c r="C49" s="8"/>
    </row>
    <row r="50" spans="3:3" x14ac:dyDescent="0.55000000000000004">
      <c r="C50" s="8"/>
    </row>
    <row r="51" spans="3:3" x14ac:dyDescent="0.55000000000000004">
      <c r="C51" s="8"/>
    </row>
    <row r="52" spans="3:3" x14ac:dyDescent="0.55000000000000004">
      <c r="C52" s="8"/>
    </row>
    <row r="53" spans="3:3" x14ac:dyDescent="0.55000000000000004">
      <c r="C53" s="8"/>
    </row>
    <row r="54" spans="3:3" x14ac:dyDescent="0.55000000000000004">
      <c r="C54" s="8"/>
    </row>
    <row r="55" spans="3:3" x14ac:dyDescent="0.55000000000000004">
      <c r="C55" s="8"/>
    </row>
    <row r="56" spans="3:3" x14ac:dyDescent="0.55000000000000004">
      <c r="C56" s="8"/>
    </row>
    <row r="57" spans="3:3" x14ac:dyDescent="0.55000000000000004">
      <c r="C57" s="8"/>
    </row>
    <row r="58" spans="3:3" x14ac:dyDescent="0.55000000000000004">
      <c r="C58" s="8"/>
    </row>
    <row r="59" spans="3:3" x14ac:dyDescent="0.55000000000000004">
      <c r="C59" s="8"/>
    </row>
    <row r="60" spans="3:3" x14ac:dyDescent="0.55000000000000004">
      <c r="C60" s="8"/>
    </row>
    <row r="61" spans="3:3" x14ac:dyDescent="0.55000000000000004">
      <c r="C61" s="8"/>
    </row>
    <row r="62" spans="3:3" x14ac:dyDescent="0.55000000000000004">
      <c r="C62" s="8"/>
    </row>
    <row r="63" spans="3:3" x14ac:dyDescent="0.55000000000000004">
      <c r="C63" s="8"/>
    </row>
    <row r="64" spans="3:3" x14ac:dyDescent="0.55000000000000004">
      <c r="C64" s="8"/>
    </row>
    <row r="65" spans="3:3" x14ac:dyDescent="0.55000000000000004">
      <c r="C65" s="8"/>
    </row>
    <row r="66" spans="3:3" x14ac:dyDescent="0.55000000000000004">
      <c r="C66" s="8"/>
    </row>
    <row r="67" spans="3:3" x14ac:dyDescent="0.55000000000000004">
      <c r="C67" s="8"/>
    </row>
    <row r="68" spans="3:3" x14ac:dyDescent="0.55000000000000004">
      <c r="C68" s="8"/>
    </row>
    <row r="69" spans="3:3" x14ac:dyDescent="0.55000000000000004">
      <c r="C69" s="8"/>
    </row>
    <row r="70" spans="3:3" x14ac:dyDescent="0.55000000000000004">
      <c r="C70" s="8"/>
    </row>
    <row r="71" spans="3:3" x14ac:dyDescent="0.55000000000000004">
      <c r="C71" s="8"/>
    </row>
    <row r="72" spans="3:3" x14ac:dyDescent="0.55000000000000004">
      <c r="C72" s="8"/>
    </row>
    <row r="73" spans="3:3" x14ac:dyDescent="0.55000000000000004">
      <c r="C73" s="8"/>
    </row>
    <row r="74" spans="3:3" x14ac:dyDescent="0.55000000000000004">
      <c r="C74" s="8"/>
    </row>
    <row r="75" spans="3:3" x14ac:dyDescent="0.55000000000000004">
      <c r="C75" s="8"/>
    </row>
    <row r="76" spans="3:3" x14ac:dyDescent="0.55000000000000004">
      <c r="C76" s="8"/>
    </row>
    <row r="77" spans="3:3" x14ac:dyDescent="0.55000000000000004">
      <c r="C77" s="8"/>
    </row>
    <row r="78" spans="3:3" x14ac:dyDescent="0.55000000000000004">
      <c r="C78" s="8"/>
    </row>
    <row r="79" spans="3:3" x14ac:dyDescent="0.55000000000000004">
      <c r="C79" s="8"/>
    </row>
    <row r="80" spans="3:3" x14ac:dyDescent="0.55000000000000004">
      <c r="C80" s="8"/>
    </row>
    <row r="81" spans="3:3" x14ac:dyDescent="0.55000000000000004">
      <c r="C81" s="8"/>
    </row>
    <row r="82" spans="3:3" x14ac:dyDescent="0.55000000000000004">
      <c r="C82" s="8"/>
    </row>
    <row r="83" spans="3:3" x14ac:dyDescent="0.55000000000000004">
      <c r="C83" s="8"/>
    </row>
    <row r="84" spans="3:3" x14ac:dyDescent="0.55000000000000004">
      <c r="C84" s="8"/>
    </row>
    <row r="85" spans="3:3" x14ac:dyDescent="0.55000000000000004">
      <c r="C85" s="8"/>
    </row>
    <row r="86" spans="3:3" x14ac:dyDescent="0.55000000000000004">
      <c r="C86" s="8"/>
    </row>
    <row r="87" spans="3:3" x14ac:dyDescent="0.55000000000000004">
      <c r="C87" s="8"/>
    </row>
    <row r="88" spans="3:3" x14ac:dyDescent="0.55000000000000004">
      <c r="C88" s="8"/>
    </row>
    <row r="89" spans="3:3" x14ac:dyDescent="0.55000000000000004">
      <c r="C89" s="8"/>
    </row>
    <row r="90" spans="3:3" x14ac:dyDescent="0.55000000000000004">
      <c r="C90" s="8"/>
    </row>
  </sheetData>
  <phoneticPr fontId="1"/>
  <hyperlinks>
    <hyperlink ref="C28" r:id="rId1" xr:uid="{63E2EB9A-E544-4D95-9F59-871A0EE903AF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Export">
                <anchor moveWithCells="1" sizeWithCells="1">
                  <from>
                    <xdr:col>1</xdr:col>
                    <xdr:colOff>774700</xdr:colOff>
                    <xdr:row>0</xdr:row>
                    <xdr:rowOff>107950</xdr:rowOff>
                  </from>
                  <to>
                    <xdr:col>2</xdr:col>
                    <xdr:colOff>1060450</xdr:colOff>
                    <xdr:row>2</xdr:row>
                    <xdr:rowOff>69850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DB4004B-2018-4B14-B628-D66D81D861E1}">
          <x14:formula1>
            <xm:f>Sheet3!$B$1:$B$18</xm:f>
          </x14:formula1>
          <xm:sqref>C8</xm:sqref>
        </x14:dataValidation>
        <x14:dataValidation type="list" allowBlank="1" showInputMessage="1" showErrorMessage="1" xr:uid="{1D3B0C62-9417-4A8F-9E84-D9292FE257F0}">
          <x14:formula1>
            <xm:f>Sheet3!$A$1:$A$19</xm:f>
          </x14:formula1>
          <xm:sqref>C9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0718C-5951-4C82-9404-BEE50FE8A8D7}">
  <dimension ref="A5:F32"/>
  <sheetViews>
    <sheetView workbookViewId="0">
      <selection activeCell="E5" sqref="E5:E30"/>
    </sheetView>
  </sheetViews>
  <sheetFormatPr defaultRowHeight="18" x14ac:dyDescent="0.55000000000000004"/>
  <cols>
    <col min="3" max="5" width="21.9140625" style="10" customWidth="1"/>
    <col min="6" max="6" width="23.1640625" customWidth="1"/>
  </cols>
  <sheetData>
    <row r="5" spans="1:6" x14ac:dyDescent="0.55000000000000004">
      <c r="A5" t="s">
        <v>69</v>
      </c>
      <c r="C5" s="10" t="s">
        <v>171</v>
      </c>
      <c r="D5" s="10" t="s">
        <v>166</v>
      </c>
      <c r="E5" s="10" t="s">
        <v>185</v>
      </c>
      <c r="F5" t="s">
        <v>191</v>
      </c>
    </row>
    <row r="6" spans="1:6" x14ac:dyDescent="0.55000000000000004">
      <c r="A6" t="s">
        <v>70</v>
      </c>
      <c r="C6" s="10" t="s">
        <v>171</v>
      </c>
      <c r="D6" s="10" t="s">
        <v>167</v>
      </c>
      <c r="E6" s="10" t="s">
        <v>186</v>
      </c>
      <c r="F6" t="s">
        <v>192</v>
      </c>
    </row>
    <row r="7" spans="1:6" x14ac:dyDescent="0.55000000000000004">
      <c r="A7" t="s">
        <v>71</v>
      </c>
      <c r="C7" s="10" t="s">
        <v>157</v>
      </c>
      <c r="D7" s="10" t="s">
        <v>157</v>
      </c>
      <c r="E7" s="10" t="s">
        <v>157</v>
      </c>
      <c r="F7" s="10" t="s">
        <v>157</v>
      </c>
    </row>
    <row r="8" spans="1:6" x14ac:dyDescent="0.55000000000000004">
      <c r="A8" t="s">
        <v>172</v>
      </c>
      <c r="C8" s="10" t="s">
        <v>156</v>
      </c>
      <c r="D8" s="10" t="s">
        <v>156</v>
      </c>
      <c r="E8" s="10" t="s">
        <v>184</v>
      </c>
      <c r="F8" t="s">
        <v>190</v>
      </c>
    </row>
    <row r="9" spans="1:6" x14ac:dyDescent="0.55000000000000004">
      <c r="A9" t="s">
        <v>173</v>
      </c>
      <c r="C9" s="10" t="s">
        <v>174</v>
      </c>
      <c r="D9" s="10" t="s">
        <v>174</v>
      </c>
    </row>
    <row r="10" spans="1:6" x14ac:dyDescent="0.55000000000000004">
      <c r="A10" t="s">
        <v>175</v>
      </c>
      <c r="C10" s="10" t="s">
        <v>171</v>
      </c>
      <c r="D10" s="10" t="s">
        <v>169</v>
      </c>
      <c r="E10" s="10" t="s">
        <v>188</v>
      </c>
      <c r="F10" t="s">
        <v>195</v>
      </c>
    </row>
    <row r="11" spans="1:6" x14ac:dyDescent="0.55000000000000004">
      <c r="A11" t="s">
        <v>74</v>
      </c>
      <c r="D11" s="10" t="s">
        <v>168</v>
      </c>
      <c r="E11" t="s">
        <v>189</v>
      </c>
      <c r="F11" t="s">
        <v>193</v>
      </c>
    </row>
    <row r="12" spans="1:6" ht="36" x14ac:dyDescent="0.55000000000000004">
      <c r="A12" t="s">
        <v>75</v>
      </c>
      <c r="D12" s="10" t="s">
        <v>170</v>
      </c>
      <c r="E12" s="10" t="s">
        <v>187</v>
      </c>
      <c r="F12" t="s">
        <v>194</v>
      </c>
    </row>
    <row r="13" spans="1:6" x14ac:dyDescent="0.55000000000000004">
      <c r="A13" t="s">
        <v>76</v>
      </c>
    </row>
    <row r="14" spans="1:6" x14ac:dyDescent="0.55000000000000004">
      <c r="A14" t="s">
        <v>77</v>
      </c>
    </row>
    <row r="15" spans="1:6" x14ac:dyDescent="0.55000000000000004">
      <c r="A15" t="s">
        <v>78</v>
      </c>
    </row>
    <row r="16" spans="1:6" x14ac:dyDescent="0.55000000000000004">
      <c r="A16" t="s">
        <v>79</v>
      </c>
    </row>
    <row r="17" spans="1:6" x14ac:dyDescent="0.55000000000000004">
      <c r="A17" t="s">
        <v>80</v>
      </c>
    </row>
    <row r="18" spans="1:6" x14ac:dyDescent="0.55000000000000004">
      <c r="A18" t="s">
        <v>81</v>
      </c>
    </row>
    <row r="19" spans="1:6" x14ac:dyDescent="0.55000000000000004">
      <c r="A19" t="s">
        <v>82</v>
      </c>
    </row>
    <row r="20" spans="1:6" x14ac:dyDescent="0.55000000000000004">
      <c r="A20" t="s">
        <v>83</v>
      </c>
    </row>
    <row r="21" spans="1:6" x14ac:dyDescent="0.55000000000000004">
      <c r="A21" t="s">
        <v>84</v>
      </c>
      <c r="C21" s="10">
        <v>0</v>
      </c>
      <c r="D21" s="10">
        <v>0</v>
      </c>
      <c r="E21" s="10">
        <v>0</v>
      </c>
      <c r="F21" s="10">
        <v>0</v>
      </c>
    </row>
    <row r="22" spans="1:6" x14ac:dyDescent="0.55000000000000004">
      <c r="A22" t="s">
        <v>85</v>
      </c>
      <c r="C22" s="10">
        <v>0</v>
      </c>
      <c r="D22" s="10">
        <v>0</v>
      </c>
      <c r="E22" s="10">
        <v>0</v>
      </c>
      <c r="F22" s="10">
        <v>0</v>
      </c>
    </row>
    <row r="23" spans="1:6" x14ac:dyDescent="0.55000000000000004">
      <c r="A23" t="s">
        <v>86</v>
      </c>
    </row>
    <row r="24" spans="1:6" x14ac:dyDescent="0.55000000000000004">
      <c r="A24" t="s">
        <v>176</v>
      </c>
      <c r="C24" s="10" t="b">
        <v>0</v>
      </c>
      <c r="D24" s="10" t="b">
        <v>0</v>
      </c>
      <c r="E24" s="10" t="b">
        <v>0</v>
      </c>
      <c r="F24" s="10" t="b">
        <v>0</v>
      </c>
    </row>
    <row r="25" spans="1:6" x14ac:dyDescent="0.55000000000000004">
      <c r="A25" t="s">
        <v>177</v>
      </c>
    </row>
    <row r="26" spans="1:6" x14ac:dyDescent="0.55000000000000004">
      <c r="A26" t="s">
        <v>89</v>
      </c>
    </row>
    <row r="27" spans="1:6" x14ac:dyDescent="0.55000000000000004">
      <c r="B27" t="s">
        <v>90</v>
      </c>
      <c r="C27" s="10" t="s">
        <v>178</v>
      </c>
      <c r="D27" s="10" t="s">
        <v>178</v>
      </c>
      <c r="E27" s="10" t="s">
        <v>178</v>
      </c>
      <c r="F27" s="10" t="s">
        <v>178</v>
      </c>
    </row>
    <row r="28" spans="1:6" ht="54" x14ac:dyDescent="0.55000000000000004">
      <c r="B28" t="s">
        <v>179</v>
      </c>
      <c r="C28" s="10" t="s">
        <v>180</v>
      </c>
      <c r="D28" s="10" t="s">
        <v>180</v>
      </c>
      <c r="E28" s="10" t="s">
        <v>180</v>
      </c>
      <c r="F28" s="10" t="s">
        <v>180</v>
      </c>
    </row>
    <row r="29" spans="1:6" x14ac:dyDescent="0.55000000000000004">
      <c r="B29" t="s">
        <v>181</v>
      </c>
      <c r="C29" s="10" t="s">
        <v>182</v>
      </c>
      <c r="D29" s="10" t="s">
        <v>182</v>
      </c>
      <c r="E29" s="10" t="s">
        <v>182</v>
      </c>
      <c r="F29" s="10" t="s">
        <v>182</v>
      </c>
    </row>
    <row r="30" spans="1:6" x14ac:dyDescent="0.55000000000000004">
      <c r="B30" t="s">
        <v>93</v>
      </c>
      <c r="C30" s="10" t="b">
        <v>0</v>
      </c>
      <c r="D30" s="10" t="b">
        <v>0</v>
      </c>
      <c r="E30" s="10" t="b">
        <v>0</v>
      </c>
      <c r="F30" s="10" t="b">
        <v>0</v>
      </c>
    </row>
    <row r="31" spans="1:6" x14ac:dyDescent="0.55000000000000004">
      <c r="B31" t="s">
        <v>165</v>
      </c>
    </row>
    <row r="32" spans="1:6" x14ac:dyDescent="0.55000000000000004">
      <c r="A32" t="s">
        <v>183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4E3363-7EFB-4555-B066-6A1D65E1832D}">
  <sheetPr codeName="Sheet3"/>
  <dimension ref="A1:B19"/>
  <sheetViews>
    <sheetView workbookViewId="0">
      <selection activeCell="B19" sqref="B19"/>
    </sheetView>
  </sheetViews>
  <sheetFormatPr defaultRowHeight="18" x14ac:dyDescent="0.55000000000000004"/>
  <cols>
    <col min="1" max="1" width="25.58203125" bestFit="1" customWidth="1"/>
    <col min="2" max="2" width="22.83203125" customWidth="1"/>
  </cols>
  <sheetData>
    <row r="1" spans="1:2" x14ac:dyDescent="0.55000000000000004">
      <c r="A1" t="s">
        <v>137</v>
      </c>
      <c r="B1" t="str">
        <f>SUBSTITUTE(SUBSTITUTE(A1,"SMZ.",""),".TT","")</f>
        <v>BresTome</v>
      </c>
    </row>
    <row r="2" spans="1:2" x14ac:dyDescent="0.55000000000000004">
      <c r="A2" t="s">
        <v>145</v>
      </c>
      <c r="B2" t="str">
        <f t="shared" ref="B2:B18" si="0">SUBSTITUTE(SUBSTITUTE(A2,"SMZ.",""),".TT","")</f>
        <v>CVS_MPC</v>
      </c>
    </row>
    <row r="3" spans="1:2" x14ac:dyDescent="0.55000000000000004">
      <c r="A3" t="s">
        <v>149</v>
      </c>
      <c r="B3" t="str">
        <f t="shared" si="0"/>
        <v>CVS_MPC_2</v>
      </c>
    </row>
    <row r="4" spans="1:2" x14ac:dyDescent="0.55000000000000004">
      <c r="A4" t="s">
        <v>153</v>
      </c>
      <c r="B4" t="str">
        <f t="shared" si="0"/>
        <v>DAR-3500</v>
      </c>
    </row>
    <row r="5" spans="1:2" x14ac:dyDescent="0.55000000000000004">
      <c r="A5" t="s">
        <v>151</v>
      </c>
      <c r="B5" t="str">
        <f t="shared" si="0"/>
        <v>DAR-7500</v>
      </c>
    </row>
    <row r="6" spans="1:2" x14ac:dyDescent="0.55000000000000004">
      <c r="A6" t="s">
        <v>143</v>
      </c>
      <c r="B6" t="str">
        <f t="shared" si="0"/>
        <v>DAR-8000</v>
      </c>
    </row>
    <row r="7" spans="1:2" x14ac:dyDescent="0.55000000000000004">
      <c r="A7" t="s">
        <v>146</v>
      </c>
      <c r="B7" t="str">
        <f t="shared" si="0"/>
        <v>DR-200</v>
      </c>
    </row>
    <row r="8" spans="1:2" x14ac:dyDescent="0.55000000000000004">
      <c r="A8" t="s">
        <v>142</v>
      </c>
      <c r="B8" t="str">
        <f t="shared" si="0"/>
        <v>DR-300</v>
      </c>
    </row>
    <row r="9" spans="1:2" x14ac:dyDescent="0.55000000000000004">
      <c r="A9" t="s">
        <v>144</v>
      </c>
      <c r="B9" t="str">
        <f t="shared" si="0"/>
        <v>Elmammo</v>
      </c>
    </row>
    <row r="10" spans="1:2" x14ac:dyDescent="0.55000000000000004">
      <c r="A10" t="s">
        <v>141</v>
      </c>
      <c r="B10" t="str">
        <f t="shared" si="0"/>
        <v>FlexaF3</v>
      </c>
    </row>
    <row r="11" spans="1:2" x14ac:dyDescent="0.55000000000000004">
      <c r="A11" t="s">
        <v>148</v>
      </c>
      <c r="B11" t="str">
        <f t="shared" si="0"/>
        <v>FlexaF4</v>
      </c>
    </row>
    <row r="12" spans="1:2" x14ac:dyDescent="0.55000000000000004">
      <c r="A12" t="s">
        <v>140</v>
      </c>
      <c r="B12" t="str">
        <f t="shared" si="0"/>
        <v>FLUOROspeed.X1</v>
      </c>
    </row>
    <row r="13" spans="1:2" x14ac:dyDescent="0.55000000000000004">
      <c r="A13" t="s">
        <v>150</v>
      </c>
      <c r="B13" t="str">
        <f t="shared" si="0"/>
        <v>PET_MPC</v>
      </c>
    </row>
    <row r="14" spans="1:2" x14ac:dyDescent="0.55000000000000004">
      <c r="A14" t="s">
        <v>152</v>
      </c>
      <c r="B14" t="str">
        <f t="shared" si="0"/>
        <v>RADspeedProEDGE</v>
      </c>
    </row>
    <row r="15" spans="1:2" x14ac:dyDescent="0.55000000000000004">
      <c r="A15" t="s">
        <v>136</v>
      </c>
      <c r="B15" t="str">
        <f t="shared" si="0"/>
        <v>RADspeedProSR5</v>
      </c>
    </row>
    <row r="16" spans="1:2" x14ac:dyDescent="0.55000000000000004">
      <c r="A16" t="s">
        <v>139</v>
      </c>
      <c r="B16" t="str">
        <f t="shared" si="0"/>
        <v>Trinias.Opera</v>
      </c>
    </row>
    <row r="17" spans="1:2" x14ac:dyDescent="0.55000000000000004">
      <c r="A17" t="s">
        <v>147</v>
      </c>
      <c r="B17" t="str">
        <f t="shared" si="0"/>
        <v>Trinias.smart</v>
      </c>
    </row>
    <row r="18" spans="1:2" x14ac:dyDescent="0.55000000000000004">
      <c r="A18" t="s">
        <v>138</v>
      </c>
      <c r="B18" t="str">
        <f t="shared" si="0"/>
        <v>Trinias</v>
      </c>
    </row>
    <row r="19" spans="1:2" x14ac:dyDescent="0.55000000000000004">
      <c r="A19" t="s">
        <v>155</v>
      </c>
    </row>
  </sheetData>
  <sortState xmlns:xlrd2="http://schemas.microsoft.com/office/spreadsheetml/2017/richdata2" ref="A1:A18">
    <sortCondition ref="A1:A18"/>
  </sortState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data</vt:lpstr>
      <vt:lpstr>Sheet4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Isobe, Seiyu/磯辺 征勇</dc:creator>
  <cp:lastModifiedBy>Isobe, Seiyu/磯辺 征勇</cp:lastModifiedBy>
  <dcterms:created xsi:type="dcterms:W3CDTF">2025-08-23T00:51:00Z</dcterms:created>
  <dcterms:modified xsi:type="dcterms:W3CDTF">2025-09-08T03:40:34Z</dcterms:modified>
</cp:coreProperties>
</file>